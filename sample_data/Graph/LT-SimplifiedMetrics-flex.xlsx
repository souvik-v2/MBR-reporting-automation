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Tables/pivotTable10.xml" ContentType="application/vnd.openxmlformats-officedocument.spreadsheetml.pivotTable+xml"/>
  <Override PartName="/xl/worksheets/sheet6.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Tables/pivotTable11.xml" ContentType="application/vnd.openxmlformats-officedocument.spreadsheetml.pivotTable+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Tables/pivotTable12.xml" ContentType="application/vnd.openxmlformats-officedocument.spreadsheetml.pivotTable+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Tables/pivotTable13.xml" ContentType="application/vnd.openxmlformats-officedocument.spreadsheetml.pivotTable+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Tables/pivotTable14.xml" ContentType="application/vnd.openxmlformats-officedocument.spreadsheetml.pivotTable+xml"/>
  <Override PartName="/xl/pivotTables/pivotTable15.xml" ContentType="application/vnd.openxmlformats-officedocument.spreadsheetml.pivot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Tables/pivotTable16.xml" ContentType="application/vnd.openxmlformats-officedocument.spreadsheetml.pivotTable+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Tables/pivotTable17.xml" ContentType="application/vnd.openxmlformats-officedocument.spreadsheetml.pivotTable+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Tables/pivotTable18.xml" ContentType="application/vnd.openxmlformats-officedocument.spreadsheetml.pivotTable+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Tables/pivotTable19.xml" ContentType="application/vnd.openxmlformats-officedocument.spreadsheetml.pivotTable+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Tables/pivotTable20.xml" ContentType="application/vnd.openxmlformats-officedocument.spreadsheetml.pivotTable+xml"/>
  <Override PartName="/xl/worksheets/sheet10.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Tables/pivotTable21.xml" ContentType="application/vnd.openxmlformats-officedocument.spreadsheetml.pivotTable+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Cache/pivotCacheRecords16.xml" ContentType="application/vnd.openxmlformats-officedocument.spreadsheetml.pivotCacheRecords+xml"/>
  <Override PartName="/xl/pivotCache/pivotCacheDefinition16.xml" ContentType="application/vnd.openxmlformats-officedocument.spreadsheetml.pivotCacheDefinition+xml"/>
  <Override PartName="/xl/pivotTables/pivotTable24.xml" ContentType="application/vnd.openxmlformats-officedocument.spreadsheetml.pivotTable+xml"/>
  <Override PartName="/xl/pivotCache/pivotCacheRecords17.xml" ContentType="application/vnd.openxmlformats-officedocument.spreadsheetml.pivotCacheRecords+xml"/>
  <Override PartName="/xl/pivotCache/pivotCacheDefinition17.xml" ContentType="application/vnd.openxmlformats-officedocument.spreadsheetml.pivotCacheDefinition+xml"/>
  <Override PartName="/xl/pivotTables/pivotTable25.xml" ContentType="application/vnd.openxmlformats-officedocument.spreadsheetml.pivotTable+xml"/>
  <Override PartName="/xl/pivotTables/pivotTable26.xml" ContentType="application/vnd.openxmlformats-officedocument.spreadsheetml.pivotTable+xml"/>
  <Override PartName="/xl/worksheets/sheet11.xml" ContentType="application/vnd.openxmlformats-officedocument.spreadsheetml.worksheet+xml"/>
  <Override PartName="/xl/drawings/drawing6.xml" ContentType="application/vnd.openxmlformats-officedocument.drawing+xml"/>
  <Override PartName="/xl/comments/comment6.xml" ContentType="application/vnd.openxmlformats-officedocument.spreadsheetml.comments+xml"/>
  <Override PartName="/xl/pivotCache/pivotCacheRecords18.xml" ContentType="application/vnd.openxmlformats-officedocument.spreadsheetml.pivotCacheRecords+xml"/>
  <Override PartName="/xl/pivotCache/pivotCacheDefinition18.xml" ContentType="application/vnd.openxmlformats-officedocument.spreadsheetml.pivotCacheDefinition+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Cache/pivotCacheRecords19.xml" ContentType="application/vnd.openxmlformats-officedocument.spreadsheetml.pivotCacheRecords+xml"/>
  <Override PartName="/xl/pivotCache/pivotCacheDefinition19.xml" ContentType="application/vnd.openxmlformats-officedocument.spreadsheetml.pivotCacheDefinition+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Cache/pivotCacheRecords20.xml" ContentType="application/vnd.openxmlformats-officedocument.spreadsheetml.pivotCacheRecords+xml"/>
  <Override PartName="/xl/pivotCache/pivotCacheDefinition20.xml" ContentType="application/vnd.openxmlformats-officedocument.spreadsheetml.pivotCacheDefinition+xml"/>
  <Override PartName="/xl/pivotTables/pivotTable31.xml" ContentType="application/vnd.openxmlformats-officedocument.spreadsheetml.pivotTable+xml"/>
  <Override PartName="/xl/pivotTables/pivotTable32.xml" ContentType="application/vnd.openxmlformats-officedocument.spreadsheetml.pivot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drawings/drawing7.xml" ContentType="application/vnd.openxmlformats-officedocument.drawing+xml"/>
  <Override PartName="/xl/comments/comment7.xml" ContentType="application/vnd.openxmlformats-officedocument.spreadsheetml.comments+xml"/>
  <Override PartName="/xl/pivotCache/pivotCacheRecords21.xml" ContentType="application/vnd.openxmlformats-officedocument.spreadsheetml.pivotCacheRecords+xml"/>
  <Override PartName="/xl/pivotCache/pivotCacheDefinition21.xml" ContentType="application/vnd.openxmlformats-officedocument.spreadsheetml.pivotCacheDefinition+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Cache/pivotCacheRecords22.xml" ContentType="application/vnd.openxmlformats-officedocument.spreadsheetml.pivotCacheRecords+xml"/>
  <Override PartName="/xl/pivotCache/pivotCacheDefinition22.xml" ContentType="application/vnd.openxmlformats-officedocument.spreadsheetml.pivotCacheDefinition+xml"/>
  <Override PartName="/xl/pivotTables/pivotTable35.xml" ContentType="application/vnd.openxmlformats-officedocument.spreadsheetml.pivotTable+xml"/>
  <Override PartName="/xl/pivotCache/pivotCacheRecords23.xml" ContentType="application/vnd.openxmlformats-officedocument.spreadsheetml.pivotCacheRecords+xml"/>
  <Override PartName="/xl/pivotCache/pivotCacheDefinition23.xml" ContentType="application/vnd.openxmlformats-officedocument.spreadsheetml.pivotCacheDefinition+xml"/>
  <Override PartName="/xl/pivotTables/pivotTable36.xml" ContentType="application/vnd.openxmlformats-officedocument.spreadsheetml.pivotTable+xml"/>
  <Override PartName="/xl/pivotTables/pivotTable37.xml" ContentType="application/vnd.openxmlformats-officedocument.spreadsheetml.pivot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drawings/drawing8.xml" ContentType="application/vnd.openxmlformats-officedocument.drawing+xml"/>
  <Override PartName="/xl/comments/comment8.xml" ContentType="application/vnd.openxmlformats-officedocument.spreadsheetml.comments+xml"/>
  <Override PartName="/xl/pivotCache/pivotCacheRecords24.xml" ContentType="application/vnd.openxmlformats-officedocument.spreadsheetml.pivotCacheRecords+xml"/>
  <Override PartName="/xl/pivotCache/pivotCacheDefinition24.xml" ContentType="application/vnd.openxmlformats-officedocument.spreadsheetml.pivotCacheDefinition+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Cache/pivotCacheRecords25.xml" ContentType="application/vnd.openxmlformats-officedocument.spreadsheetml.pivotCacheRecords+xml"/>
  <Override PartName="/xl/pivotCache/pivotCacheDefinition25.xml" ContentType="application/vnd.openxmlformats-officedocument.spreadsheetml.pivotCacheDefinition+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Cache/pivotCacheRecords26.xml" ContentType="application/vnd.openxmlformats-officedocument.spreadsheetml.pivotCacheRecords+xml"/>
  <Override PartName="/xl/pivotCache/pivotCacheDefinition26.xml" ContentType="application/vnd.openxmlformats-officedocument.spreadsheetml.pivotCacheDefinition+xml"/>
  <Override PartName="/xl/pivotTables/pivotTable42.xml" ContentType="application/vnd.openxmlformats-officedocument.spreadsheetml.pivotTable+xml"/>
  <Override PartName="/xl/pivotTables/pivotTable43.xml" ContentType="application/vnd.openxmlformats-officedocument.spreadsheetml.pivotTable+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drawings/drawing9.xml" ContentType="application/vnd.openxmlformats-officedocument.drawing+xml"/>
  <Override PartName="/xl/comments/comment9.xml" ContentType="application/vnd.openxmlformats-officedocument.spreadsheetml.comments+xml"/>
  <Override PartName="/xl/pivotCache/pivotCacheRecords27.xml" ContentType="application/vnd.openxmlformats-officedocument.spreadsheetml.pivotCacheRecords+xml"/>
  <Override PartName="/xl/pivotCache/pivotCacheDefinition27.xml" ContentType="application/vnd.openxmlformats-officedocument.spreadsheetml.pivotCacheDefinition+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Cache/pivotCacheRecords28.xml" ContentType="application/vnd.openxmlformats-officedocument.spreadsheetml.pivotCacheRecords+xml"/>
  <Override PartName="/xl/pivotCache/pivotCacheDefinition28.xml" ContentType="application/vnd.openxmlformats-officedocument.spreadsheetml.pivotCacheDefinition+xml"/>
  <Override PartName="/xl/pivotTables/pivotTable46.xml" ContentType="application/vnd.openxmlformats-officedocument.spreadsheetml.pivotTable+xml"/>
  <Override PartName="/xl/pivotCache/pivotCacheRecords29.xml" ContentType="application/vnd.openxmlformats-officedocument.spreadsheetml.pivotCacheRecords+xml"/>
  <Override PartName="/xl/pivotCache/pivotCacheDefinition29.xml" ContentType="application/vnd.openxmlformats-officedocument.spreadsheetml.pivotCacheDefinition+xml"/>
  <Override PartName="/xl/pivotTables/pivotTable47.xml" ContentType="application/vnd.openxmlformats-officedocument.spreadsheetml.pivotTable+xml"/>
  <Override PartName="/xl/pivotTables/pivotTable48.xml" ContentType="application/vnd.openxmlformats-officedocument.spreadsheetml.pivotTable+xml"/>
  <Override PartName="/xl/worksheets/sheet18.xml" ContentType="application/vnd.openxmlformats-officedocument.spreadsheetml.worksheet+xml"/>
  <Override PartName="/xl/worksheets/sheet19.xml" ContentType="application/vnd.openxmlformats-officedocument.spreadsheetml.worksheet+xml"/>
  <Override PartName="/xl/drawings/drawing10.xml" ContentType="application/vnd.openxmlformats-officedocument.drawing+xml"/>
  <Override PartName="/xl/comments/comment10.xml" ContentType="application/vnd.openxmlformats-officedocument.spreadsheetml.comments+xml"/>
  <Override PartName="/xl/pivotCache/pivotCacheRecords30.xml" ContentType="application/vnd.openxmlformats-officedocument.spreadsheetml.pivotCacheRecords+xml"/>
  <Override PartName="/xl/pivotCache/pivotCacheDefinition30.xml" ContentType="application/vnd.openxmlformats-officedocument.spreadsheetml.pivotCacheDefinition+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worksheets/sheet20.xml" ContentType="application/vnd.openxmlformats-officedocument.spreadsheetml.worksheet+xml"/>
  <Override PartName="/xl/comments/comment11.xml" ContentType="application/vnd.openxmlformats-officedocument.spreadsheetml.comments+xml"/>
  <Override PartName="/xl/worksheets/sheet21.xml" ContentType="application/vnd.openxmlformats-officedocument.spreadsheetml.worksheet+xml"/>
  <Override PartName="/xl/drawings/drawing11.xml" ContentType="application/vnd.openxmlformats-officedocument.drawing+xml"/>
  <Override PartName="/xl/comments/comment12.xml" ContentType="application/vnd.openxmlformats-officedocument.spreadsheetml.comments+xml"/>
  <Override PartName="/xl/pivotCache/pivotCacheRecords31.xml" ContentType="application/vnd.openxmlformats-officedocument.spreadsheetml.pivotCacheRecords+xml"/>
  <Override PartName="/xl/pivotCache/pivotCacheDefinition31.xml" ContentType="application/vnd.openxmlformats-officedocument.spreadsheetml.pivotCacheDefinition+xml"/>
  <Override PartName="/xl/pivotTables/pivotTable54.xml" ContentType="application/vnd.openxmlformats-officedocument.spreadsheetml.pivotTable+xml"/>
  <Override PartName="/xl/pivotCache/pivotCacheRecords32.xml" ContentType="application/vnd.openxmlformats-officedocument.spreadsheetml.pivotCacheRecords+xml"/>
  <Override PartName="/xl/pivotCache/pivotCacheDefinition32.xml" ContentType="application/vnd.openxmlformats-officedocument.spreadsheetml.pivotCacheDefinition+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Cache/pivotCacheRecords33.xml" ContentType="application/vnd.openxmlformats-officedocument.spreadsheetml.pivotCacheRecords+xml"/>
  <Override PartName="/xl/pivotCache/pivotCacheDefinition33.xml" ContentType="application/vnd.openxmlformats-officedocument.spreadsheetml.pivotCacheDefinition+xml"/>
  <Override PartName="/xl/pivotTables/pivotTable57.xml" ContentType="application/vnd.openxmlformats-officedocument.spreadsheetml.pivotTable+xml"/>
  <Override PartName="/xl/pivotTables/pivotTable58.xml" ContentType="application/vnd.openxmlformats-officedocument.spreadsheetml.pivotTable+xml"/>
  <Override PartName="/xl/worksheets/sheet22.xml" ContentType="application/vnd.openxmlformats-officedocument.spreadsheetml.worksheet+xml"/>
  <Override PartName="/xl/drawings/drawing12.xml" ContentType="application/vnd.openxmlformats-officedocument.drawing+xml"/>
  <Override PartName="/xl/comments/comment13.xml" ContentType="application/vnd.openxmlformats-officedocument.spreadsheetml.comments+xml"/>
  <Override PartName="/xl/pivotCache/pivotCacheRecords34.xml" ContentType="application/vnd.openxmlformats-officedocument.spreadsheetml.pivotCacheRecords+xml"/>
  <Override PartName="/xl/pivotCache/pivotCacheDefinition34.xml" ContentType="application/vnd.openxmlformats-officedocument.spreadsheetml.pivotCacheDefinition+xml"/>
  <Override PartName="/xl/pivotTables/pivotTable59.xml" ContentType="application/vnd.openxmlformats-officedocument.spreadsheetml.pivotTable+xml"/>
  <Override PartName="/xl/pivotCache/pivotCacheRecords35.xml" ContentType="application/vnd.openxmlformats-officedocument.spreadsheetml.pivotCacheRecords+xml"/>
  <Override PartName="/xl/pivotCache/pivotCacheDefinition35.xml" ContentType="application/vnd.openxmlformats-officedocument.spreadsheetml.pivotCacheDefinition+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Cache/pivotCacheRecords36.xml" ContentType="application/vnd.openxmlformats-officedocument.spreadsheetml.pivotCacheRecords+xml"/>
  <Override PartName="/xl/pivotCache/pivotCacheDefinition36.xml" ContentType="application/vnd.openxmlformats-officedocument.spreadsheetml.pivotCacheDefinition+xml"/>
  <Override PartName="/xl/pivotTables/pivotTable62.xml" ContentType="application/vnd.openxmlformats-officedocument.spreadsheetml.pivotTable+xml"/>
  <Override PartName="/xl/pivotTables/pivotTable63.xml" ContentType="application/vnd.openxmlformats-officedocument.spreadsheetml.pivotTable+xml"/>
  <Override PartName="/xl/worksheets/sheet23.xml" ContentType="application/vnd.openxmlformats-officedocument.spreadsheetml.worksheet+xml"/>
  <Override PartName="/xl/drawings/drawing13.xml" ContentType="application/vnd.openxmlformats-officedocument.drawing+xml"/>
  <Override PartName="/xl/pivotCache/pivotCacheRecords37.xml" ContentType="application/vnd.openxmlformats-officedocument.spreadsheetml.pivotCacheRecords+xml"/>
  <Override PartName="/xl/pivotCache/pivotCacheDefinition37.xml" ContentType="application/vnd.openxmlformats-officedocument.spreadsheetml.pivotCacheDefinition+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Cache/pivotCacheRecords38.xml" ContentType="application/vnd.openxmlformats-officedocument.spreadsheetml.pivotCacheRecords+xml"/>
  <Override PartName="/xl/pivotCache/pivotCacheDefinition38.xml" ContentType="application/vnd.openxmlformats-officedocument.spreadsheetml.pivotCacheDefinition+xml"/>
  <Override PartName="/xl/pivotTables/pivotTable66.xml" ContentType="application/vnd.openxmlformats-officedocument.spreadsheetml.pivotTable+xml"/>
  <Override PartName="/xl/pivotTables/pivotTable67.xml" ContentType="application/vnd.openxmlformats-officedocument.spreadsheetml.pivotTable+xml"/>
  <Override PartName="/xl/worksheets/sheet24.xml" ContentType="application/vnd.openxmlformats-officedocument.spreadsheetml.worksheet+xml"/>
  <Override PartName="/xl/drawings/drawing14.xml" ContentType="application/vnd.openxmlformats-officedocument.drawing+xml"/>
  <Override PartName="/xl/comments/comment14.xml" ContentType="application/vnd.openxmlformats-officedocument.spreadsheetml.comments+xml"/>
  <Override PartName="/xl/pivotCache/pivotCacheRecords39.xml" ContentType="application/vnd.openxmlformats-officedocument.spreadsheetml.pivotCacheRecords+xml"/>
  <Override PartName="/xl/pivotCache/pivotCacheDefinition39.xml" ContentType="application/vnd.openxmlformats-officedocument.spreadsheetml.pivotCacheDefinition+xml"/>
  <Override PartName="/xl/pivotTables/pivotTable68.xml" ContentType="application/vnd.openxmlformats-officedocument.spreadsheetml.pivotTable+xml"/>
  <Override PartName="/xl/pivotCache/pivotCacheRecords40.xml" ContentType="application/vnd.openxmlformats-officedocument.spreadsheetml.pivotCacheRecords+xml"/>
  <Override PartName="/xl/pivotCache/pivotCacheDefinition40.xml" ContentType="application/vnd.openxmlformats-officedocument.spreadsheetml.pivotCacheDefinition+xml"/>
  <Override PartName="/xl/pivotTables/pivotTable69.xml" ContentType="application/vnd.openxmlformats-officedocument.spreadsheetml.pivotTable+xml"/>
  <Override PartName="/xl/pivotCache/pivotCacheRecords41.xml" ContentType="application/vnd.openxmlformats-officedocument.spreadsheetml.pivotCacheRecords+xml"/>
  <Override PartName="/xl/pivotCache/pivotCacheDefinition41.xml" ContentType="application/vnd.openxmlformats-officedocument.spreadsheetml.pivotCacheDefinition+xml"/>
  <Override PartName="/xl/pivotTables/pivotTable70.xml" ContentType="application/vnd.openxmlformats-officedocument.spreadsheetml.pivotTable+xml"/>
  <Override PartName="/xl/pivotCache/pivotCacheRecords42.xml" ContentType="application/vnd.openxmlformats-officedocument.spreadsheetml.pivotCacheRecords+xml"/>
  <Override PartName="/xl/pivotCache/pivotCacheDefinition42.xml" ContentType="application/vnd.openxmlformats-officedocument.spreadsheetml.pivotCacheDefinition+xml"/>
  <Override PartName="/xl/pivotTables/pivotTable71.xml" ContentType="application/vnd.openxmlformats-officedocument.spreadsheetml.pivotTable+xml"/>
  <Override PartName="/xl/pivotCache/pivotCacheRecords43.xml" ContentType="application/vnd.openxmlformats-officedocument.spreadsheetml.pivotCacheRecords+xml"/>
  <Override PartName="/xl/pivotCache/pivotCacheDefinition43.xml" ContentType="application/vnd.openxmlformats-officedocument.spreadsheetml.pivotCacheDefinition+xml"/>
  <Override PartName="/xl/pivotTables/pivotTable72.xml" ContentType="application/vnd.openxmlformats-officedocument.spreadsheetml.pivotTable+xml"/>
  <Override PartName="/xl/worksheets/sheet25.xml" ContentType="application/vnd.openxmlformats-officedocument.spreadsheetml.worksheet+xml"/>
  <Override PartName="/xl/drawings/drawing15.xml" ContentType="application/vnd.openxmlformats-officedocument.drawing+xml"/>
  <Override PartName="/xl/pivotCache/pivotCacheRecords44.xml" ContentType="application/vnd.openxmlformats-officedocument.spreadsheetml.pivotCacheRecords+xml"/>
  <Override PartName="/xl/pivotCache/pivotCacheDefinition44.xml" ContentType="application/vnd.openxmlformats-officedocument.spreadsheetml.pivotCacheDefinition+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Cache/pivotCacheRecords45.xml" ContentType="application/vnd.openxmlformats-officedocument.spreadsheetml.pivotCacheRecords+xml"/>
  <Override PartName="/xl/pivotCache/pivotCacheDefinition45.xml" ContentType="application/vnd.openxmlformats-officedocument.spreadsheetml.pivotCacheDefinition+xml"/>
  <Override PartName="/xl/pivotTables/pivotTable75.xml" ContentType="application/vnd.openxmlformats-officedocument.spreadsheetml.pivotTable+xml"/>
  <Override PartName="/xl/pivotTables/pivotTable76.xml" ContentType="application/vnd.openxmlformats-officedocument.spreadsheetml.pivotTable+xml"/>
  <Override PartName="/xl/worksheets/sheet26.xml" ContentType="application/vnd.openxmlformats-officedocument.spreadsheetml.worksheet+xml"/>
  <Override PartName="/xl/drawings/drawing16.xml" ContentType="application/vnd.openxmlformats-officedocument.drawing+xml"/>
  <Override PartName="/xl/comments/comment15.xml" ContentType="application/vnd.openxmlformats-officedocument.spreadsheetml.comments+xml"/>
  <Override PartName="/xl/pivotCache/pivotCacheRecords46.xml" ContentType="application/vnd.openxmlformats-officedocument.spreadsheetml.pivotCacheRecords+xml"/>
  <Override PartName="/xl/pivotCache/pivotCacheDefinition46.xml" ContentType="application/vnd.openxmlformats-officedocument.spreadsheetml.pivotCacheDefinition+xml"/>
  <Override PartName="/xl/pivotTables/pivotTable77.xml" ContentType="application/vnd.openxmlformats-officedocument.spreadsheetml.pivotTable+xml"/>
  <Override PartName="/xl/pivotCache/pivotCacheRecords47.xml" ContentType="application/vnd.openxmlformats-officedocument.spreadsheetml.pivotCacheRecords+xml"/>
  <Override PartName="/xl/pivotCache/pivotCacheDefinition47.xml" ContentType="application/vnd.openxmlformats-officedocument.spreadsheetml.pivotCacheDefinition+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Cache/pivotCacheRecords48.xml" ContentType="application/vnd.openxmlformats-officedocument.spreadsheetml.pivotCacheRecords+xml"/>
  <Override PartName="/xl/pivotCache/pivotCacheDefinition48.xml" ContentType="application/vnd.openxmlformats-officedocument.spreadsheetml.pivotCacheDefinition+xml"/>
  <Override PartName="/xl/pivotTables/pivotTable81.xml" ContentType="application/vnd.openxmlformats-officedocument.spreadsheetml.pivotTable+xml"/>
  <Override PartName="/xl/worksheets/sheet27.xml" ContentType="application/vnd.openxmlformats-officedocument.spreadsheetml.worksheet+xml"/>
  <Override PartName="/xl/drawings/drawing17.xml" ContentType="application/vnd.openxmlformats-officedocument.drawing+xml"/>
  <Override PartName="/xl/comments/comment16.xml" ContentType="application/vnd.openxmlformats-officedocument.spreadsheetml.comments+xml"/>
  <Override PartName="/xl/pivotCache/pivotCacheRecords49.xml" ContentType="application/vnd.openxmlformats-officedocument.spreadsheetml.pivotCacheRecords+xml"/>
  <Override PartName="/xl/pivotCache/pivotCacheDefinition49.xml" ContentType="application/vnd.openxmlformats-officedocument.spreadsheetml.pivotCacheDefinition+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Cache/pivotCacheRecords50.xml" ContentType="application/vnd.openxmlformats-officedocument.spreadsheetml.pivotCacheRecords+xml"/>
  <Override PartName="/xl/pivotCache/pivotCacheDefinition50.xml" ContentType="application/vnd.openxmlformats-officedocument.spreadsheetml.pivotCacheDefinition+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Cache/pivotCacheRecords51.xml" ContentType="application/vnd.openxmlformats-officedocument.spreadsheetml.pivotCacheRecords+xml"/>
  <Override PartName="/xl/pivotCache/pivotCacheDefinition51.xml" ContentType="application/vnd.openxmlformats-officedocument.spreadsheetml.pivotCacheDefinition+xml"/>
  <Override PartName="/xl/pivotTables/pivotTable87.xml" ContentType="application/vnd.openxmlformats-officedocument.spreadsheetml.pivotTable+xml"/>
  <Override PartName="/xl/worksheets/sheet28.xml" ContentType="application/vnd.openxmlformats-officedocument.spreadsheetml.worksheet+xml"/>
  <Override PartName="/xl/drawings/drawing18.xml" ContentType="application/vnd.openxmlformats-officedocument.drawing+xml"/>
  <Override PartName="/xl/comments/comment17.xml" ContentType="application/vnd.openxmlformats-officedocument.spreadsheetml.comments+xml"/>
  <Override PartName="/xl/pivotCache/pivotCacheRecords52.xml" ContentType="application/vnd.openxmlformats-officedocument.spreadsheetml.pivotCacheRecords+xml"/>
  <Override PartName="/xl/pivotCache/pivotCacheDefinition52.xml" ContentType="application/vnd.openxmlformats-officedocument.spreadsheetml.pivotCacheDefinition+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731" firstSheet="4" activeTab="4" autoFilterDateGrouping="1"/>
  </bookViews>
  <sheets>
    <sheet xmlns:r="http://schemas.openxmlformats.org/officeDocument/2006/relationships" name="Detail3" sheetId="1" state="hidden" r:id="rId1"/>
    <sheet xmlns:r="http://schemas.openxmlformats.org/officeDocument/2006/relationships" name="Consumer Web Kanban" sheetId="2" state="visible" r:id="rId2"/>
    <sheet xmlns:r="http://schemas.openxmlformats.org/officeDocument/2006/relationships" name="Detail4" sheetId="3" state="hidden" r:id="rId3"/>
    <sheet xmlns:r="http://schemas.openxmlformats.org/officeDocument/2006/relationships" name="Detail5" sheetId="4" state="hidden" r:id="rId4"/>
    <sheet xmlns:r="http://schemas.openxmlformats.org/officeDocument/2006/relationships" name="SEOD" sheetId="5" state="visible" r:id="rId5"/>
    <sheet xmlns:r="http://schemas.openxmlformats.org/officeDocument/2006/relationships" name="WPM Scrum " sheetId="6" state="visible" r:id="rId6"/>
    <sheet xmlns:r="http://schemas.openxmlformats.org/officeDocument/2006/relationships" name="Detail6" sheetId="7" state="visible" r:id="rId7"/>
    <sheet xmlns:r="http://schemas.openxmlformats.org/officeDocument/2006/relationships" name="Detail7" sheetId="8" state="visible" r:id="rId8"/>
    <sheet xmlns:r="http://schemas.openxmlformats.org/officeDocument/2006/relationships" name="Consumer Experience Team" sheetId="9" state="visible" r:id="rId9"/>
    <sheet xmlns:r="http://schemas.openxmlformats.org/officeDocument/2006/relationships" name="Phoenix - Forms" sheetId="10" state="visible" r:id="rId10"/>
    <sheet xmlns:r="http://schemas.openxmlformats.org/officeDocument/2006/relationships" name="Flex" sheetId="11" state="visible" r:id="rId11"/>
    <sheet xmlns:r="http://schemas.openxmlformats.org/officeDocument/2006/relationships" name="Detail2" sheetId="12" state="hidden" r:id="rId12"/>
    <sheet xmlns:r="http://schemas.openxmlformats.org/officeDocument/2006/relationships" name="Pre-Prime" sheetId="13" state="hidden" r:id="rId13"/>
    <sheet xmlns:r="http://schemas.openxmlformats.org/officeDocument/2006/relationships" name="Sheet1" sheetId="14" state="hidden" r:id="rId14"/>
    <sheet xmlns:r="http://schemas.openxmlformats.org/officeDocument/2006/relationships" name="Partner Central" sheetId="15" state="hidden" r:id="rId15"/>
    <sheet xmlns:r="http://schemas.openxmlformats.org/officeDocument/2006/relationships" name="Detail1" sheetId="16" state="hidden" r:id="rId16"/>
    <sheet xmlns:r="http://schemas.openxmlformats.org/officeDocument/2006/relationships" name="Web Analytics" sheetId="17" state="hidden" r:id="rId17"/>
    <sheet xmlns:r="http://schemas.openxmlformats.org/officeDocument/2006/relationships" name="Older project&gt;&gt;" sheetId="18" state="hidden" r:id="rId18"/>
    <sheet xmlns:r="http://schemas.openxmlformats.org/officeDocument/2006/relationships" name="Mortgage Purchase" sheetId="19" state="hidden" r:id="rId19"/>
    <sheet xmlns:r="http://schemas.openxmlformats.org/officeDocument/2006/relationships" name="CDR" sheetId="20" state="hidden" r:id="rId20"/>
    <sheet xmlns:r="http://schemas.openxmlformats.org/officeDocument/2006/relationships" name="SnapCap" sheetId="21" state="hidden" r:id="rId21"/>
    <sheet xmlns:r="http://schemas.openxmlformats.org/officeDocument/2006/relationships" name="LONB" sheetId="22" state="hidden" r:id="rId22"/>
    <sheet xmlns:r="http://schemas.openxmlformats.org/officeDocument/2006/relationships" name="Voltron" sheetId="23" state="hidden" r:id="rId23"/>
    <sheet xmlns:r="http://schemas.openxmlformats.org/officeDocument/2006/relationships" name="MyLT DASH" sheetId="24" state="hidden" r:id="rId24"/>
    <sheet xmlns:r="http://schemas.openxmlformats.org/officeDocument/2006/relationships" name="Marvel knights" sheetId="25" state="hidden" r:id="rId25"/>
    <sheet xmlns:r="http://schemas.openxmlformats.org/officeDocument/2006/relationships" name="CanopyNext" sheetId="26" state="visible" r:id="rId26"/>
    <sheet xmlns:r="http://schemas.openxmlformats.org/officeDocument/2006/relationships" name="UALS (InActive)" sheetId="27" state="visible" r:id="rId27"/>
    <sheet xmlns:r="http://schemas.openxmlformats.org/officeDocument/2006/relationships" name="Wordpress Modernization (InActi" sheetId="28" state="visible" r:id="rId28"/>
  </sheets>
  <definedNames/>
  <calcPr calcId="191028" fullCalcOnLoad="1" calcCompleted="0"/>
  <pivotCaches>
    <pivotCache xmlns:r="http://schemas.openxmlformats.org/officeDocument/2006/relationships" cacheId="235" r:id="rId29"/>
    <pivotCache xmlns:r="http://schemas.openxmlformats.org/officeDocument/2006/relationships" cacheId="236" r:id="rId30"/>
    <pivotCache xmlns:r="http://schemas.openxmlformats.org/officeDocument/2006/relationships" cacheId="220" r:id="rId31"/>
    <pivotCache xmlns:r="http://schemas.openxmlformats.org/officeDocument/2006/relationships" cacheId="221" r:id="rId32"/>
    <pivotCache xmlns:r="http://schemas.openxmlformats.org/officeDocument/2006/relationships" cacheId="229" r:id="rId33"/>
    <pivotCache xmlns:r="http://schemas.openxmlformats.org/officeDocument/2006/relationships" cacheId="228" r:id="rId34"/>
    <pivotCache xmlns:r="http://schemas.openxmlformats.org/officeDocument/2006/relationships" cacheId="230" r:id="rId35"/>
    <pivotCache xmlns:r="http://schemas.openxmlformats.org/officeDocument/2006/relationships" cacheId="231" r:id="rId36"/>
    <pivotCache xmlns:r="http://schemas.openxmlformats.org/officeDocument/2006/relationships" cacheId="237" r:id="rId37"/>
    <pivotCache xmlns:r="http://schemas.openxmlformats.org/officeDocument/2006/relationships" cacheId="233" r:id="rId38"/>
    <pivotCache xmlns:r="http://schemas.openxmlformats.org/officeDocument/2006/relationships" cacheId="234" r:id="rId39"/>
    <pivotCache xmlns:r="http://schemas.openxmlformats.org/officeDocument/2006/relationships" cacheId="238" r:id="rId40"/>
    <pivotCache xmlns:r="http://schemas.openxmlformats.org/officeDocument/2006/relationships" cacheId="232" r:id="rId41"/>
    <pivotCache xmlns:r="http://schemas.openxmlformats.org/officeDocument/2006/relationships" cacheId="219" r:id="rId42"/>
    <pivotCache xmlns:r="http://schemas.openxmlformats.org/officeDocument/2006/relationships" cacheId="218" r:id="rId43"/>
    <pivotCache xmlns:r="http://schemas.openxmlformats.org/officeDocument/2006/relationships" cacheId="194" r:id="rId44"/>
    <pivotCache xmlns:r="http://schemas.openxmlformats.org/officeDocument/2006/relationships" cacheId="217" r:id="rId45"/>
    <pivotCache xmlns:r="http://schemas.openxmlformats.org/officeDocument/2006/relationships" cacheId="227" r:id="rId46"/>
    <pivotCache xmlns:r="http://schemas.openxmlformats.org/officeDocument/2006/relationships" cacheId="225" r:id="rId47"/>
    <pivotCache xmlns:r="http://schemas.openxmlformats.org/officeDocument/2006/relationships" cacheId="226" r:id="rId48"/>
    <pivotCache xmlns:r="http://schemas.openxmlformats.org/officeDocument/2006/relationships" cacheId="198" r:id="rId49"/>
    <pivotCache xmlns:r="http://schemas.openxmlformats.org/officeDocument/2006/relationships" cacheId="199" r:id="rId50"/>
    <pivotCache xmlns:r="http://schemas.openxmlformats.org/officeDocument/2006/relationships" cacheId="193" r:id="rId51"/>
    <pivotCache xmlns:r="http://schemas.openxmlformats.org/officeDocument/2006/relationships" cacheId="197" r:id="rId52"/>
    <pivotCache xmlns:r="http://schemas.openxmlformats.org/officeDocument/2006/relationships" cacheId="195" r:id="rId53"/>
    <pivotCache xmlns:r="http://schemas.openxmlformats.org/officeDocument/2006/relationships" cacheId="196" r:id="rId54"/>
    <pivotCache xmlns:r="http://schemas.openxmlformats.org/officeDocument/2006/relationships" cacheId="189" r:id="rId55"/>
    <pivotCache xmlns:r="http://schemas.openxmlformats.org/officeDocument/2006/relationships" cacheId="191" r:id="rId56"/>
    <pivotCache xmlns:r="http://schemas.openxmlformats.org/officeDocument/2006/relationships" cacheId="192" r:id="rId57"/>
    <pivotCache xmlns:r="http://schemas.openxmlformats.org/officeDocument/2006/relationships" cacheId="204" r:id="rId58"/>
    <pivotCache xmlns:r="http://schemas.openxmlformats.org/officeDocument/2006/relationships" cacheId="203" r:id="rId59"/>
    <pivotCache xmlns:r="http://schemas.openxmlformats.org/officeDocument/2006/relationships" cacheId="202" r:id="rId60"/>
    <pivotCache xmlns:r="http://schemas.openxmlformats.org/officeDocument/2006/relationships" cacheId="190" r:id="rId61"/>
    <pivotCache xmlns:r="http://schemas.openxmlformats.org/officeDocument/2006/relationships" cacheId="207" r:id="rId62"/>
    <pivotCache xmlns:r="http://schemas.openxmlformats.org/officeDocument/2006/relationships" cacheId="206" r:id="rId63"/>
    <pivotCache xmlns:r="http://schemas.openxmlformats.org/officeDocument/2006/relationships" cacheId="205" r:id="rId64"/>
    <pivotCache xmlns:r="http://schemas.openxmlformats.org/officeDocument/2006/relationships" cacheId="210" r:id="rId65"/>
    <pivotCache xmlns:r="http://schemas.openxmlformats.org/officeDocument/2006/relationships" cacheId="209" r:id="rId66"/>
    <pivotCache xmlns:r="http://schemas.openxmlformats.org/officeDocument/2006/relationships" cacheId="201" r:id="rId67"/>
    <pivotCache xmlns:r="http://schemas.openxmlformats.org/officeDocument/2006/relationships" cacheId="200" r:id="rId68"/>
    <pivotCache xmlns:r="http://schemas.openxmlformats.org/officeDocument/2006/relationships" cacheId="188" r:id="rId69"/>
    <pivotCache xmlns:r="http://schemas.openxmlformats.org/officeDocument/2006/relationships" cacheId="187" r:id="rId70"/>
    <pivotCache xmlns:r="http://schemas.openxmlformats.org/officeDocument/2006/relationships" cacheId="212" r:id="rId71"/>
    <pivotCache xmlns:r="http://schemas.openxmlformats.org/officeDocument/2006/relationships" cacheId="208" r:id="rId72"/>
    <pivotCache xmlns:r="http://schemas.openxmlformats.org/officeDocument/2006/relationships" cacheId="211" r:id="rId73"/>
    <pivotCache xmlns:r="http://schemas.openxmlformats.org/officeDocument/2006/relationships" cacheId="222" r:id="rId74"/>
    <pivotCache xmlns:r="http://schemas.openxmlformats.org/officeDocument/2006/relationships" cacheId="224" r:id="rId75"/>
    <pivotCache xmlns:r="http://schemas.openxmlformats.org/officeDocument/2006/relationships" cacheId="223" r:id="rId76"/>
    <pivotCache xmlns:r="http://schemas.openxmlformats.org/officeDocument/2006/relationships" cacheId="214" r:id="rId77"/>
    <pivotCache xmlns:r="http://schemas.openxmlformats.org/officeDocument/2006/relationships" cacheId="215" r:id="rId78"/>
    <pivotCache xmlns:r="http://schemas.openxmlformats.org/officeDocument/2006/relationships" cacheId="216" r:id="rId79"/>
    <pivotCache xmlns:r="http://schemas.openxmlformats.org/officeDocument/2006/relationships" cacheId="213" r:id="rId80"/>
  </pivotCaches>
</workbook>
</file>

<file path=xl/styles.xml><?xml version="1.0" encoding="utf-8"?>
<styleSheet xmlns="http://schemas.openxmlformats.org/spreadsheetml/2006/main">
  <numFmts count="0"/>
  <fonts count="25">
    <font>
      <name val="Calibri"/>
      <family val="2"/>
      <color theme="1"/>
      <sz val="11"/>
      <scheme val="minor"/>
    </font>
    <font>
      <name val="Calibri"/>
      <family val="2"/>
      <color rgb="FF000000"/>
      <sz val="11"/>
      <scheme val="minor"/>
    </font>
    <font>
      <name val="Calibri"/>
      <family val="2"/>
      <color rgb="FF000000"/>
      <sz val="11"/>
    </font>
    <font>
      <name val="Calibri"/>
      <family val="2"/>
      <b val="1"/>
      <color theme="1"/>
      <sz val="11"/>
      <scheme val="minor"/>
    </font>
    <font>
      <name val="Calibri"/>
      <family val="2"/>
      <sz val="8"/>
      <scheme val="minor"/>
    </font>
    <font>
      <name val="Calibri"/>
      <family val="2"/>
      <color theme="1"/>
      <sz val="11"/>
      <scheme val="minor"/>
    </font>
    <font>
      <name val="Calibri"/>
      <family val="2"/>
      <b val="1"/>
      <i val="1"/>
      <color rgb="FFFFFFFF"/>
      <sz val="11"/>
      <scheme val="minor"/>
    </font>
    <font>
      <name val="Calibri"/>
      <family val="2"/>
      <b val="1"/>
      <i val="1"/>
      <color rgb="FF000000"/>
      <sz val="10"/>
      <scheme val="minor"/>
    </font>
    <font>
      <name val="Calibri"/>
      <family val="2"/>
      <i val="1"/>
      <color rgb="FF000000"/>
      <sz val="11"/>
      <scheme val="minor"/>
    </font>
    <font>
      <name val="Calibri"/>
      <family val="2"/>
      <color rgb="FF000000"/>
      <sz val="10"/>
      <scheme val="minor"/>
    </font>
    <font>
      <name val="Calibri"/>
      <family val="2"/>
      <b val="1"/>
      <color rgb="FF000000"/>
      <sz val="11"/>
      <scheme val="minor"/>
    </font>
    <font>
      <name val="Calibri"/>
      <family val="2"/>
      <b val="1"/>
      <color rgb="FF8497B0"/>
      <sz val="14"/>
      <scheme val="minor"/>
    </font>
    <font>
      <name val="Calibri"/>
      <family val="2"/>
      <b val="1"/>
      <color rgb="FFFFFFFF"/>
      <sz val="11"/>
      <scheme val="minor"/>
    </font>
    <font>
      <name val="Calibri"/>
      <family val="2"/>
      <b val="1"/>
      <color rgb="FFFFFFFF"/>
      <sz val="12"/>
      <scheme val="minor"/>
    </font>
    <font>
      <name val="Calibri"/>
      <family val="2"/>
      <b val="1"/>
      <color rgb="FF000000"/>
      <sz val="10"/>
      <scheme val="minor"/>
    </font>
    <font>
      <name val="Calibri"/>
      <family val="2"/>
      <b val="1"/>
      <color rgb="FF006100"/>
      <sz val="11"/>
      <scheme val="minor"/>
    </font>
    <font>
      <name val="Calibri"/>
      <family val="2"/>
      <strike val="1"/>
      <color theme="1"/>
      <sz val="11"/>
      <scheme val="minor"/>
    </font>
    <font>
      <name val="Calibri"/>
      <family val="2"/>
      <color rgb="FF444444"/>
      <sz val="11"/>
    </font>
    <font>
      <name val="Calibri"/>
      <family val="2"/>
      <i val="1"/>
      <color rgb="FFFF0000"/>
      <sz val="11"/>
      <scheme val="minor"/>
    </font>
    <font>
      <name val="Calibri"/>
      <family val="2"/>
      <b val="1"/>
      <color rgb="FFE7E6E6"/>
      <sz val="12"/>
      <scheme val="minor"/>
    </font>
    <font>
      <name val="Aptos Narrow"/>
      <family val="2"/>
      <color rgb="FF242424"/>
      <sz val="11"/>
    </font>
    <font>
      <name val="Calibri"/>
      <charset val="1"/>
      <color rgb="FF000000"/>
      <sz val="11"/>
    </font>
    <font>
      <name val="Calibri"/>
      <color rgb="FF292A2E"/>
      <sz val="11"/>
      <scheme val="minor"/>
    </font>
    <font>
      <name val="Calibri"/>
      <family val="2"/>
      <color rgb="FFFF0000"/>
      <sz val="11"/>
      <scheme val="minor"/>
    </font>
    <font>
      <name val="Calibri"/>
      <color rgb="FF000000"/>
      <sz val="11"/>
    </font>
  </fonts>
  <fills count="8">
    <fill>
      <patternFill/>
    </fill>
    <fill>
      <patternFill patternType="gray125"/>
    </fill>
    <fill>
      <patternFill patternType="solid">
        <fgColor rgb="FF1F497D"/>
        <bgColor rgb="FF000000"/>
      </patternFill>
    </fill>
    <fill>
      <patternFill patternType="solid">
        <fgColor rgb="FF4F81BD"/>
        <bgColor rgb="FF000000"/>
      </patternFill>
    </fill>
    <fill>
      <patternFill patternType="solid">
        <fgColor rgb="FFC6EFCE"/>
        <bgColor rgb="FF000000"/>
      </patternFill>
    </fill>
    <fill>
      <patternFill patternType="solid">
        <fgColor rgb="FF948A54"/>
        <bgColor rgb="FF000000"/>
      </patternFill>
    </fill>
    <fill>
      <patternFill patternType="solid">
        <fgColor theme="0"/>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bottom/>
      <diagonal/>
    </border>
    <border>
      <left/>
      <right style="thin">
        <color indexed="64"/>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5"/>
      </left>
      <right/>
      <top style="thin">
        <color indexed="65"/>
      </top>
      <bottom/>
      <diagonal/>
    </border>
    <border>
      <left/>
      <right style="thin">
        <color indexed="64"/>
      </right>
      <top style="thin">
        <color indexed="64"/>
      </top>
      <bottom/>
      <diagonal/>
    </border>
    <border>
      <left/>
      <right style="thin">
        <color rgb="FF000000"/>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medium">
        <color indexed="64"/>
      </left>
      <right style="thin">
        <color indexed="64"/>
      </right>
      <top style="medium">
        <color indexed="64"/>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s>
  <cellStyleXfs count="2">
    <xf numFmtId="0" fontId="5" fillId="0" borderId="0"/>
    <xf numFmtId="9" fontId="5" fillId="0" borderId="0"/>
  </cellStyleXfs>
  <cellXfs count="318">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0" fillId="0" borderId="1" applyAlignment="1" pivotButton="0" quotePrefix="0" xfId="0">
      <alignment horizontal="center"/>
    </xf>
    <xf numFmtId="0" fontId="0" fillId="0" borderId="0" pivotButton="1" quotePrefix="0" xfId="0"/>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left"/>
    </xf>
    <xf numFmtId="0" fontId="0" fillId="0" borderId="7" pivotButton="0" quotePrefix="0" xfId="0"/>
    <xf numFmtId="0" fontId="0" fillId="0" borderId="8" applyAlignment="1" pivotButton="0" quotePrefix="0" xfId="0">
      <alignment horizontal="left"/>
    </xf>
    <xf numFmtId="0" fontId="0" fillId="0" borderId="9" pivotButton="0" quotePrefix="0" xfId="0"/>
    <xf numFmtId="0" fontId="0" fillId="0" borderId="10" pivotButton="0" quotePrefix="0" xfId="0"/>
    <xf numFmtId="0" fontId="0" fillId="0" borderId="11" applyAlignment="1" pivotButton="0" quotePrefix="0" xfId="0">
      <alignment horizontal="center"/>
    </xf>
    <xf numFmtId="0" fontId="0" fillId="0" borderId="12" applyAlignment="1" pivotButton="0" quotePrefix="0" xfId="0">
      <alignment horizontal="center"/>
    </xf>
    <xf numFmtId="0" fontId="0" fillId="0" borderId="13" applyAlignment="1" pivotButton="0" quotePrefix="0" xfId="0">
      <alignment horizontal="center"/>
    </xf>
    <xf numFmtId="0" fontId="0" fillId="0" borderId="6" pivotButton="0" quotePrefix="0" xfId="0"/>
    <xf numFmtId="0" fontId="0" fillId="0" borderId="8" pivotButton="0" quotePrefix="0" xfId="0"/>
    <xf numFmtId="0" fontId="0" fillId="0" borderId="0" applyAlignment="1" pivotButton="0" quotePrefix="0" xfId="0">
      <alignment horizontal="left" vertical="top"/>
    </xf>
    <xf numFmtId="15" fontId="1" fillId="0" borderId="14" applyAlignment="1" pivotButton="0" quotePrefix="0" xfId="0">
      <alignment horizontal="center" vertical="center"/>
    </xf>
    <xf numFmtId="15" fontId="1" fillId="0" borderId="0" applyAlignment="1" pivotButton="0" quotePrefix="0" xfId="0">
      <alignment horizontal="center" vertical="center"/>
    </xf>
    <xf numFmtId="15" fontId="1" fillId="0" borderId="0" applyAlignment="1" pivotButton="0" quotePrefix="0" xfId="0">
      <alignment horizontal="center"/>
    </xf>
    <xf numFmtId="9" fontId="0" fillId="0" borderId="0" pivotButton="0" quotePrefix="0" xfId="0"/>
    <xf numFmtId="9" fontId="0" fillId="0" borderId="7" pivotButton="0" quotePrefix="0" xfId="0"/>
    <xf numFmtId="9" fontId="0" fillId="0" borderId="9" pivotButton="0" quotePrefix="0" xfId="0"/>
    <xf numFmtId="9" fontId="0" fillId="0" borderId="10" pivotButton="0" quotePrefix="0" xfId="0"/>
    <xf numFmtId="0" fontId="0" fillId="0" borderId="15" applyAlignment="1" pivotButton="0" quotePrefix="0" xfId="0">
      <alignment horizontal="left"/>
    </xf>
    <xf numFmtId="0" fontId="0" fillId="0" borderId="16" pivotButton="0" quotePrefix="0" xfId="0"/>
    <xf numFmtId="0" fontId="0" fillId="0" borderId="17" pivotButton="0" quotePrefix="0" xfId="0"/>
    <xf numFmtId="9" fontId="0" fillId="0" borderId="0" applyAlignment="1" pivotButton="0" quotePrefix="0" xfId="0">
      <alignment horizontal="center"/>
    </xf>
    <xf numFmtId="0" fontId="0" fillId="0" borderId="1" applyAlignment="1" pivotButton="0" quotePrefix="0" xfId="0">
      <alignment horizontal="left" vertical="top"/>
    </xf>
    <xf numFmtId="9" fontId="0" fillId="0" borderId="1" pivotButton="0" quotePrefix="0" xfId="0"/>
    <xf numFmtId="0" fontId="3" fillId="0" borderId="1" applyAlignment="1" pivotButton="0" quotePrefix="0" xfId="0">
      <alignment horizontal="left" vertical="top"/>
    </xf>
    <xf numFmtId="0" fontId="0" fillId="0" borderId="18" pivotButton="0" quotePrefix="0" xfId="0"/>
    <xf numFmtId="0" fontId="3" fillId="0" borderId="18" applyAlignment="1" pivotButton="0" quotePrefix="0" xfId="0">
      <alignment horizontal="center"/>
    </xf>
    <xf numFmtId="0" fontId="3" fillId="0" borderId="1" applyAlignment="1" pivotButton="0" quotePrefix="0" xfId="0">
      <alignment horizontal="center"/>
    </xf>
    <xf numFmtId="0" fontId="0" fillId="0" borderId="14" applyAlignment="1" pivotButton="0" quotePrefix="0" xfId="0">
      <alignment horizontal="left" vertical="top"/>
    </xf>
    <xf numFmtId="9" fontId="0" fillId="0" borderId="14" pivotButton="0" quotePrefix="0" xfId="0"/>
    <xf numFmtId="0" fontId="2" fillId="0" borderId="14" applyAlignment="1" pivotButton="0" quotePrefix="0" xfId="0">
      <alignment horizontal="left"/>
    </xf>
    <xf numFmtId="0" fontId="3" fillId="0" borderId="14" applyAlignment="1" pivotButton="0" quotePrefix="0" xfId="0">
      <alignment horizontal="left" vertical="top"/>
    </xf>
    <xf numFmtId="9" fontId="3" fillId="0" borderId="14" pivotButton="0" quotePrefix="0" xfId="0"/>
    <xf numFmtId="0" fontId="0" fillId="0" borderId="14" pivotButton="0" quotePrefix="0" xfId="0"/>
    <xf numFmtId="0" fontId="3" fillId="0" borderId="14" pivotButton="0" quotePrefix="0" xfId="0"/>
    <xf numFmtId="0" fontId="3" fillId="0" borderId="14" applyAlignment="1" pivotButton="0" quotePrefix="0" xfId="0">
      <alignment horizontal="center" vertical="top"/>
    </xf>
    <xf numFmtId="9" fontId="3" fillId="0" borderId="14" applyAlignment="1" pivotButton="0" quotePrefix="0" xfId="0">
      <alignment horizontal="center"/>
    </xf>
    <xf numFmtId="0" fontId="0" fillId="0" borderId="14" applyAlignment="1" pivotButton="0" quotePrefix="0" xfId="0">
      <alignment horizontal="center" vertical="top"/>
    </xf>
    <xf numFmtId="9" fontId="0" fillId="0" borderId="14" applyAlignment="1" pivotButton="0" quotePrefix="0" xfId="0">
      <alignment horizontal="center"/>
    </xf>
    <xf numFmtId="0" fontId="0" fillId="0" borderId="0" applyAlignment="1" pivotButton="0" quotePrefix="0" xfId="0">
      <alignment horizontal="center" vertical="top"/>
    </xf>
    <xf numFmtId="0" fontId="2" fillId="0" borderId="14" applyAlignment="1" pivotButton="0" quotePrefix="0" xfId="0">
      <alignment horizontal="center"/>
    </xf>
    <xf numFmtId="0" fontId="3" fillId="0" borderId="1" applyAlignment="1" pivotButton="0" quotePrefix="0" xfId="0">
      <alignment horizontal="center" vertical="top"/>
    </xf>
    <xf numFmtId="9" fontId="3" fillId="0" borderId="1" applyAlignment="1" pivotButton="0" quotePrefix="0" xfId="0">
      <alignment horizontal="center"/>
    </xf>
    <xf numFmtId="0" fontId="0" fillId="0" borderId="1" applyAlignment="1" pivotButton="0" quotePrefix="0" xfId="0">
      <alignment horizontal="center" vertical="top"/>
    </xf>
    <xf numFmtId="9" fontId="0" fillId="0" borderId="1" applyAlignment="1" pivotButton="0" quotePrefix="0" xfId="0">
      <alignment horizontal="center"/>
    </xf>
    <xf numFmtId="0" fontId="3" fillId="0" borderId="14" applyAlignment="1" pivotButton="0" quotePrefix="0" xfId="0">
      <alignment horizontal="center"/>
    </xf>
    <xf numFmtId="0" fontId="0" fillId="0" borderId="14" applyAlignment="1" pivotButton="0" quotePrefix="0" xfId="0">
      <alignment horizontal="center"/>
    </xf>
    <xf numFmtId="0" fontId="1" fillId="0" borderId="14" pivotButton="0" quotePrefix="0" xfId="0"/>
    <xf numFmtId="0" fontId="1" fillId="0" borderId="14" applyAlignment="1" pivotButton="0" quotePrefix="0" xfId="0">
      <alignment horizontal="center"/>
    </xf>
    <xf numFmtId="15" fontId="1" fillId="0" borderId="19" applyAlignment="1" pivotButton="0" quotePrefix="0" xfId="0">
      <alignment horizontal="center" vertical="center"/>
    </xf>
    <xf numFmtId="0" fontId="3" fillId="0" borderId="0" applyAlignment="1" pivotButton="0" quotePrefix="0" xfId="0">
      <alignment horizontal="left" vertical="top"/>
    </xf>
    <xf numFmtId="15" fontId="1" fillId="0" borderId="14" applyAlignment="1" pivotButton="0" quotePrefix="0" xfId="0">
      <alignment horizontal="center"/>
    </xf>
    <xf numFmtId="15" fontId="1" fillId="0" borderId="14" pivotButton="0" quotePrefix="0" xfId="0"/>
    <xf numFmtId="15" fontId="1" fillId="0" borderId="14" applyAlignment="1" pivotButton="0" quotePrefix="0" xfId="0">
      <alignment horizontal="right"/>
    </xf>
    <xf numFmtId="0" fontId="3" fillId="0" borderId="14" applyAlignment="1" pivotButton="0" quotePrefix="0" xfId="0">
      <alignment horizontal="center" vertical="center"/>
    </xf>
    <xf numFmtId="0" fontId="0" fillId="0" borderId="14" applyAlignment="1" pivotButton="0" quotePrefix="0" xfId="0">
      <alignment horizontal="center" vertical="center"/>
    </xf>
    <xf numFmtId="0" fontId="0" fillId="0" borderId="0" applyAlignment="1" pivotButton="0" quotePrefix="0" xfId="0">
      <alignment horizontal="center" vertical="center"/>
    </xf>
    <xf numFmtId="0" fontId="0" fillId="0" borderId="20" applyAlignment="1" pivotButton="0" quotePrefix="0" xfId="0">
      <alignment horizontal="left" vertical="top"/>
    </xf>
    <xf numFmtId="0" fontId="1" fillId="0" borderId="1" pivotButton="0" quotePrefix="0" xfId="0"/>
    <xf numFmtId="0" fontId="1" fillId="0" borderId="1" applyAlignment="1" pivotButton="0" quotePrefix="0" xfId="0">
      <alignment horizontal="center"/>
    </xf>
    <xf numFmtId="0" fontId="0" fillId="0" borderId="1" applyAlignment="1" pivotButton="0" quotePrefix="0" xfId="0">
      <alignment horizontal="left"/>
    </xf>
    <xf numFmtId="0" fontId="0" fillId="0" borderId="22" applyAlignment="1" pivotButton="0" quotePrefix="0" xfId="0">
      <alignment horizontal="center" vertical="top"/>
    </xf>
    <xf numFmtId="0" fontId="0" fillId="0" borderId="19" applyAlignment="1" pivotButton="0" quotePrefix="0" xfId="0">
      <alignment horizontal="center" vertical="top"/>
    </xf>
    <xf numFmtId="0" fontId="0" fillId="0" borderId="20" applyAlignment="1" pivotButton="0" quotePrefix="0" xfId="0">
      <alignment horizontal="center" vertical="top"/>
    </xf>
    <xf numFmtId="0" fontId="0" fillId="0" borderId="22" applyAlignment="1" pivotButton="0" quotePrefix="0" xfId="0">
      <alignment horizontal="left" vertical="top"/>
    </xf>
    <xf numFmtId="0" fontId="0" fillId="0" borderId="20" applyAlignment="1" pivotButton="0" quotePrefix="0" xfId="0">
      <alignment horizontal="center" vertical="center"/>
    </xf>
    <xf numFmtId="0" fontId="2" fillId="0" borderId="20" applyAlignment="1" pivotButton="0" quotePrefix="0" xfId="0">
      <alignment horizontal="left"/>
    </xf>
    <xf numFmtId="9" fontId="0" fillId="0" borderId="20" applyAlignment="1" pivotButton="0" quotePrefix="0" xfId="0">
      <alignment horizontal="center"/>
    </xf>
    <xf numFmtId="0" fontId="0" fillId="0" borderId="14" applyAlignment="1" pivotButton="0" quotePrefix="0" xfId="0">
      <alignment horizontal="right"/>
    </xf>
    <xf numFmtId="0" fontId="1" fillId="0" borderId="18" applyAlignment="1" pivotButton="0" quotePrefix="0" xfId="0">
      <alignment horizontal="center"/>
    </xf>
    <xf numFmtId="9" fontId="0" fillId="0" borderId="6" pivotButton="0" quotePrefix="0" xfId="1"/>
    <xf numFmtId="0" fontId="0" fillId="0" borderId="23" applyAlignment="1" pivotButton="0" quotePrefix="0" xfId="0">
      <alignment horizontal="left" vertical="top"/>
    </xf>
    <xf numFmtId="0" fontId="0" fillId="0" borderId="1" applyAlignment="1" pivotButton="0" quotePrefix="0" xfId="0">
      <alignment horizontal="center" vertical="center"/>
    </xf>
    <xf numFmtId="46" fontId="0" fillId="0" borderId="14" applyAlignment="1" pivotButton="0" quotePrefix="0" xfId="0">
      <alignment horizontal="left" vertical="top"/>
    </xf>
    <xf numFmtId="0" fontId="0" fillId="0" borderId="1" pivotButton="0" quotePrefix="0" xfId="0"/>
    <xf numFmtId="0" fontId="1" fillId="0" borderId="6" pivotButton="0" quotePrefix="0" xfId="0"/>
    <xf numFmtId="0" fontId="1" fillId="0" borderId="6" applyAlignment="1" pivotButton="0" quotePrefix="0" xfId="0">
      <alignment horizontal="left" vertical="center"/>
    </xf>
    <xf numFmtId="0" fontId="1" fillId="0" borderId="0" pivotButton="0" quotePrefix="0" xfId="0"/>
    <xf numFmtId="0" fontId="1" fillId="0" borderId="0" applyAlignment="1" pivotButton="0" quotePrefix="0" xfId="0">
      <alignment horizontal="left" vertical="center"/>
    </xf>
    <xf numFmtId="0" fontId="7" fillId="0" borderId="0" applyAlignment="1" pivotButton="0" quotePrefix="0" xfId="0">
      <alignment horizontal="left" vertical="center"/>
    </xf>
    <xf numFmtId="0" fontId="6"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 fillId="0" borderId="7" pivotButton="0" quotePrefix="0" xfId="0"/>
    <xf numFmtId="0" fontId="1" fillId="0" borderId="7" applyAlignment="1" pivotButton="0" quotePrefix="0" xfId="0">
      <alignment horizontal="left" vertical="center"/>
    </xf>
    <xf numFmtId="0" fontId="1" fillId="0" borderId="8" pivotButton="0" quotePrefix="0" xfId="0"/>
    <xf numFmtId="0" fontId="10" fillId="0" borderId="9" pivotButton="0" quotePrefix="0" xfId="0"/>
    <xf numFmtId="0" fontId="1" fillId="0" borderId="9" pivotButton="0" quotePrefix="0" xfId="0"/>
    <xf numFmtId="0" fontId="1" fillId="0" borderId="9" applyAlignment="1" pivotButton="0" quotePrefix="0" xfId="0">
      <alignment vertical="top" wrapText="1"/>
    </xf>
    <xf numFmtId="0" fontId="1" fillId="0" borderId="9" applyAlignment="1" pivotButton="0" quotePrefix="0" xfId="0">
      <alignment vertical="top"/>
    </xf>
    <xf numFmtId="0" fontId="1" fillId="0" borderId="10" applyAlignment="1" pivotButton="0" quotePrefix="0" xfId="0">
      <alignment vertical="top"/>
    </xf>
    <xf numFmtId="0" fontId="12" fillId="2" borderId="0" applyAlignment="1" pivotButton="0" quotePrefix="0" xfId="0">
      <alignment horizontal="left" vertical="center"/>
    </xf>
    <xf numFmtId="0" fontId="12" fillId="0" borderId="0" applyAlignment="1" pivotButton="0" quotePrefix="0" xfId="0">
      <alignment horizontal="left" vertical="center"/>
    </xf>
    <xf numFmtId="0" fontId="1" fillId="5" borderId="1" applyAlignment="1" pivotButton="0" quotePrefix="0" xfId="0">
      <alignment horizontal="center" vertical="center"/>
    </xf>
    <xf numFmtId="0" fontId="15" fillId="4" borderId="0" applyAlignment="1" pivotButton="0" quotePrefix="0" xfId="0">
      <alignment horizontal="left" vertical="center"/>
    </xf>
    <xf numFmtId="15" fontId="0" fillId="0" borderId="14" applyAlignment="1" pivotButton="0" quotePrefix="0" xfId="0">
      <alignment horizontal="right"/>
    </xf>
    <xf numFmtId="9" fontId="0" fillId="0" borderId="21" applyAlignment="1" pivotButton="0" quotePrefix="0" xfId="0">
      <alignment horizontal="center"/>
    </xf>
    <xf numFmtId="9" fontId="0" fillId="0" borderId="22" applyAlignment="1" pivotButton="0" quotePrefix="0" xfId="0">
      <alignment horizontal="center"/>
    </xf>
    <xf numFmtId="9" fontId="3" fillId="0" borderId="1" pivotButton="0" quotePrefix="0" xfId="0"/>
    <xf numFmtId="0" fontId="3" fillId="0" borderId="1" applyAlignment="1" pivotButton="0" quotePrefix="0" xfId="0">
      <alignment horizontal="left"/>
    </xf>
    <xf numFmtId="0" fontId="3" fillId="0" borderId="1" pivotButton="0" quotePrefix="0" xfId="0"/>
    <xf numFmtId="0" fontId="0" fillId="0" borderId="26" applyAlignment="1" pivotButton="0" quotePrefix="0" xfId="0">
      <alignment horizontal="center" vertical="top"/>
    </xf>
    <xf numFmtId="0" fontId="0" fillId="0" borderId="27" applyAlignment="1" pivotButton="0" quotePrefix="0" xfId="0">
      <alignment horizontal="center" vertical="top"/>
    </xf>
    <xf numFmtId="0" fontId="0" fillId="0" borderId="18" applyAlignment="1" pivotButton="0" quotePrefix="0" xfId="0">
      <alignment horizontal="center" vertical="top"/>
    </xf>
    <xf numFmtId="9" fontId="0" fillId="0" borderId="19" applyAlignment="1" pivotButton="0" quotePrefix="0" xfId="0">
      <alignment horizontal="center"/>
    </xf>
    <xf numFmtId="0" fontId="0" fillId="0" borderId="14" applyAlignment="1" pivotButton="0" quotePrefix="0" xfId="0">
      <alignment vertical="center" wrapText="1"/>
    </xf>
    <xf numFmtId="9" fontId="0" fillId="0" borderId="20" pivotButton="0" quotePrefix="0" xfId="0"/>
    <xf numFmtId="9" fontId="0" fillId="0" borderId="28" applyAlignment="1" pivotButton="0" quotePrefix="0" xfId="0">
      <alignment horizontal="center"/>
    </xf>
    <xf numFmtId="14" fontId="0" fillId="0" borderId="14" applyAlignment="1" pivotButton="0" quotePrefix="0" xfId="0">
      <alignment horizontal="right"/>
    </xf>
    <xf numFmtId="0" fontId="16" fillId="0" borderId="1" applyAlignment="1" pivotButton="0" quotePrefix="0" xfId="0">
      <alignment horizontal="center" vertical="top"/>
    </xf>
    <xf numFmtId="9" fontId="0" fillId="0" borderId="30" applyAlignment="1" pivotButton="0" quotePrefix="0" xfId="0">
      <alignment horizontal="center"/>
    </xf>
    <xf numFmtId="0" fontId="0" fillId="0" borderId="20" applyAlignment="1" pivotButton="0" quotePrefix="0" xfId="0">
      <alignment horizontal="right"/>
    </xf>
    <xf numFmtId="0" fontId="3" fillId="0" borderId="1" applyAlignment="1" pivotButton="0" quotePrefix="0" xfId="0">
      <alignment horizontal="center" vertical="center"/>
    </xf>
    <xf numFmtId="0" fontId="0" fillId="0" borderId="23" applyAlignment="1" pivotButton="0" quotePrefix="0" xfId="0">
      <alignment horizontal="center" vertical="top"/>
    </xf>
    <xf numFmtId="0" fontId="0" fillId="0" borderId="22" applyAlignment="1" pivotButton="0" quotePrefix="0" xfId="0">
      <alignment horizontal="center" vertical="center"/>
    </xf>
    <xf numFmtId="0" fontId="0" fillId="0" borderId="31" pivotButton="0" quotePrefix="0" xfId="0"/>
    <xf numFmtId="10" fontId="0" fillId="0" borderId="0" pivotButton="0" quotePrefix="0" xfId="0"/>
    <xf numFmtId="0" fontId="0" fillId="0" borderId="14" applyAlignment="1" pivotButton="0" quotePrefix="0" xfId="0">
      <alignment horizontal="center" vertical="top" wrapText="1"/>
    </xf>
    <xf numFmtId="9" fontId="0" fillId="0" borderId="32" applyAlignment="1" pivotButton="0" quotePrefix="0" xfId="0">
      <alignment horizontal="center"/>
    </xf>
    <xf numFmtId="0" fontId="17" fillId="0" borderId="0" applyAlignment="1" pivotButton="0" quotePrefix="0" xfId="0">
      <alignment wrapText="1"/>
    </xf>
    <xf numFmtId="0" fontId="0" fillId="0" borderId="28" pivotButton="0" quotePrefix="0" xfId="0"/>
    <xf numFmtId="9" fontId="0" fillId="0" borderId="28" pivotButton="0" quotePrefix="0" xfId="0"/>
    <xf numFmtId="9" fontId="0" fillId="0" borderId="27" applyAlignment="1" pivotButton="0" quotePrefix="0" xfId="0">
      <alignment horizontal="center"/>
    </xf>
    <xf numFmtId="0" fontId="0" fillId="0" borderId="20" pivotButton="0" quotePrefix="0" xfId="0"/>
    <xf numFmtId="0" fontId="0" fillId="0" borderId="21" pivotButton="0" quotePrefix="0" xfId="0"/>
    <xf numFmtId="0" fontId="0" fillId="0" borderId="1" applyAlignment="1" pivotButton="0" quotePrefix="0" xfId="0">
      <alignment horizontal="left" vertical="top" wrapText="1"/>
    </xf>
    <xf numFmtId="0" fontId="0" fillId="0" borderId="20" applyAlignment="1" pivotButton="0" quotePrefix="0" xfId="0">
      <alignment horizontal="center"/>
    </xf>
    <xf numFmtId="9" fontId="0" fillId="0" borderId="23" applyAlignment="1" pivotButton="0" quotePrefix="0" xfId="0">
      <alignment horizontal="center"/>
    </xf>
    <xf numFmtId="0" fontId="3" fillId="0" borderId="0" pivotButton="0" quotePrefix="0" xfId="0"/>
    <xf numFmtId="0" fontId="18" fillId="0" borderId="0" applyAlignment="1" pivotButton="0" quotePrefix="0" xfId="0">
      <alignment horizontal="left" vertical="center"/>
    </xf>
    <xf numFmtId="0" fontId="14" fillId="0" borderId="0" applyAlignment="1" pivotButton="0" quotePrefix="0" xfId="0">
      <alignment horizontal="left" vertical="center"/>
    </xf>
    <xf numFmtId="22" fontId="0" fillId="0" borderId="1" applyAlignment="1" pivotButton="0" quotePrefix="0" xfId="0">
      <alignment horizontal="left" vertical="top"/>
    </xf>
    <xf numFmtId="9" fontId="0" fillId="0" borderId="0" applyAlignment="1" pivotButton="0" quotePrefix="0" xfId="0">
      <alignment horizontal="center" vertical="center"/>
    </xf>
    <xf numFmtId="9" fontId="0" fillId="0" borderId="1" applyAlignment="1" pivotButton="0" quotePrefix="0" xfId="0">
      <alignment horizontal="center" vertical="center"/>
    </xf>
    <xf numFmtId="0" fontId="0" fillId="0" borderId="0" applyAlignment="1" pivotButton="0" quotePrefix="0" xfId="0">
      <alignment vertical="center"/>
    </xf>
    <xf numFmtId="9" fontId="0" fillId="0" borderId="0" applyAlignment="1" pivotButton="0" quotePrefix="0" xfId="0">
      <alignment vertical="center"/>
    </xf>
    <xf numFmtId="9" fontId="0" fillId="0" borderId="7" applyAlignment="1" pivotButton="0" quotePrefix="0" xfId="0">
      <alignment vertical="center"/>
    </xf>
    <xf numFmtId="9" fontId="0" fillId="0" borderId="9" applyAlignment="1" pivotButton="0" quotePrefix="0" xfId="0">
      <alignment vertical="center"/>
    </xf>
    <xf numFmtId="9" fontId="0" fillId="0" borderId="10" applyAlignment="1" pivotButton="0" quotePrefix="0" xfId="0">
      <alignment vertical="center"/>
    </xf>
    <xf numFmtId="9" fontId="0" fillId="0" borderId="1" applyAlignment="1" pivotButton="0" quotePrefix="0" xfId="0">
      <alignment vertical="center"/>
    </xf>
    <xf numFmtId="0" fontId="0" fillId="0" borderId="0" applyAlignment="1" pivotButton="1" quotePrefix="0" xfId="0">
      <alignment vertical="center"/>
    </xf>
    <xf numFmtId="9" fontId="0" fillId="0" borderId="14" applyAlignment="1" pivotButton="0" quotePrefix="0" xfId="0">
      <alignment horizontal="center" vertical="center"/>
    </xf>
    <xf numFmtId="0" fontId="0" fillId="0" borderId="0" applyAlignment="1" pivotButton="0" quotePrefix="0" xfId="0">
      <alignment horizontal="left" vertical="center"/>
    </xf>
    <xf numFmtId="0" fontId="1" fillId="0" borderId="6" applyAlignment="1" pivotButton="0" quotePrefix="0" xfId="0">
      <alignment vertical="center"/>
    </xf>
    <xf numFmtId="0" fontId="1" fillId="0" borderId="0" applyAlignment="1" pivotButton="0" quotePrefix="0" xfId="0">
      <alignment vertical="center"/>
    </xf>
    <xf numFmtId="0" fontId="1" fillId="0" borderId="7" applyAlignment="1" pivotButton="0" quotePrefix="0" xfId="0">
      <alignment vertical="center"/>
    </xf>
    <xf numFmtId="0" fontId="1" fillId="0" borderId="14" applyAlignment="1" pivotButton="0" quotePrefix="0" xfId="0">
      <alignment horizontal="center" vertical="center"/>
    </xf>
    <xf numFmtId="0" fontId="0" fillId="0" borderId="11" applyAlignment="1" pivotButton="0" quotePrefix="0" xfId="0">
      <alignment horizontal="center" vertical="center"/>
    </xf>
    <xf numFmtId="0" fontId="1" fillId="0" borderId="8" applyAlignment="1" pivotButton="0" quotePrefix="0" xfId="0">
      <alignment vertical="center"/>
    </xf>
    <xf numFmtId="0" fontId="10" fillId="0" borderId="9" applyAlignment="1" pivotButton="0" quotePrefix="0" xfId="0">
      <alignment vertical="center"/>
    </xf>
    <xf numFmtId="0" fontId="1" fillId="0" borderId="9" applyAlignment="1" pivotButton="0" quotePrefix="0" xfId="0">
      <alignment vertical="center"/>
    </xf>
    <xf numFmtId="0" fontId="1" fillId="0" borderId="9" applyAlignment="1" pivotButton="0" quotePrefix="0" xfId="0">
      <alignment vertical="center" wrapText="1"/>
    </xf>
    <xf numFmtId="0" fontId="1" fillId="0" borderId="10" applyAlignment="1" pivotButton="0" quotePrefix="0" xfId="0">
      <alignment vertical="center"/>
    </xf>
    <xf numFmtId="9" fontId="0" fillId="0" borderId="20" applyAlignment="1" pivotButton="0" quotePrefix="0" xfId="0">
      <alignment horizontal="center" vertical="center"/>
    </xf>
    <xf numFmtId="0" fontId="0" fillId="0" borderId="6" applyAlignment="1" pivotButton="0" quotePrefix="0" xfId="0">
      <alignment vertical="center"/>
    </xf>
    <xf numFmtId="0" fontId="0" fillId="0" borderId="8"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46" fontId="0" fillId="0" borderId="14" applyAlignment="1" pivotButton="0" quotePrefix="0" xfId="0">
      <alignment horizontal="left" vertical="center"/>
    </xf>
    <xf numFmtId="0" fontId="0" fillId="0" borderId="14" applyAlignment="1" pivotButton="0" quotePrefix="0" xfId="0">
      <alignment horizontal="left" vertical="center"/>
    </xf>
    <xf numFmtId="0" fontId="0" fillId="0" borderId="20" applyAlignment="1" pivotButton="0" quotePrefix="0" xfId="0">
      <alignment horizontal="left" vertical="center"/>
    </xf>
    <xf numFmtId="0" fontId="0" fillId="0" borderId="23" applyAlignment="1" pivotButton="0" quotePrefix="0" xfId="0">
      <alignment horizontal="center" vertical="center"/>
    </xf>
    <xf numFmtId="0" fontId="1" fillId="0" borderId="1" applyAlignment="1" pivotButton="0" quotePrefix="0" xfId="0">
      <alignment horizontal="center" vertical="center"/>
    </xf>
    <xf numFmtId="0" fontId="3" fillId="0" borderId="18" applyAlignment="1" pivotButton="0" quotePrefix="0" xfId="0">
      <alignment horizontal="center" vertical="center"/>
    </xf>
    <xf numFmtId="0" fontId="0" fillId="0" borderId="0" applyAlignment="1" pivotButton="1" quotePrefix="0" xfId="0">
      <alignment horizontal="center" vertical="center"/>
    </xf>
    <xf numFmtId="0" fontId="1" fillId="0" borderId="6" applyAlignment="1" pivotButton="0" quotePrefix="0" xfId="0">
      <alignment horizontal="center" vertical="center"/>
    </xf>
    <xf numFmtId="0" fontId="1" fillId="0" borderId="0" applyAlignment="1" pivotButton="0" quotePrefix="0" xfId="0">
      <alignment horizontal="center" vertical="center"/>
    </xf>
    <xf numFmtId="0" fontId="1" fillId="0" borderId="7" applyAlignment="1" pivotButton="0" quotePrefix="0" xfId="0">
      <alignment horizontal="center" vertical="center"/>
    </xf>
    <xf numFmtId="0" fontId="12" fillId="2" borderId="0" applyAlignment="1" pivotButton="0" quotePrefix="0" xfId="0">
      <alignment horizontal="center" vertical="center"/>
    </xf>
    <xf numFmtId="0" fontId="14" fillId="0" borderId="0" applyAlignment="1" pivotButton="0" quotePrefix="0" xfId="0">
      <alignment horizontal="center" vertical="center"/>
    </xf>
    <xf numFmtId="0" fontId="7" fillId="0" borderId="0" applyAlignment="1" pivotButton="0" quotePrefix="0" xfId="0">
      <alignment horizontal="center" vertical="center"/>
    </xf>
    <xf numFmtId="0" fontId="12" fillId="0" borderId="0" applyAlignment="1" pivotButton="0" quotePrefix="0" xfId="0">
      <alignment horizontal="center" vertical="center"/>
    </xf>
    <xf numFmtId="0" fontId="6" fillId="0" borderId="0" applyAlignment="1" pivotButton="0" quotePrefix="0" xfId="0">
      <alignment horizontal="center" vertical="center"/>
    </xf>
    <xf numFmtId="0" fontId="8" fillId="0" borderId="0" applyAlignment="1" pivotButton="0" quotePrefix="0" xfId="0">
      <alignment horizontal="center" vertical="center"/>
    </xf>
    <xf numFmtId="0" fontId="15" fillId="4" borderId="0" applyAlignment="1" pivotButton="0" quotePrefix="0" xfId="0">
      <alignment horizontal="center" vertical="center"/>
    </xf>
    <xf numFmtId="0" fontId="9" fillId="0" borderId="0" applyAlignment="1" pivotButton="0" quotePrefix="0" xfId="0">
      <alignment horizontal="center" vertical="center"/>
    </xf>
    <xf numFmtId="0" fontId="1" fillId="0" borderId="8" applyAlignment="1" pivotButton="0" quotePrefix="0" xfId="0">
      <alignment horizontal="center" vertical="center"/>
    </xf>
    <xf numFmtId="0" fontId="10" fillId="0" borderId="9" applyAlignment="1" pivotButton="0" quotePrefix="0" xfId="0">
      <alignment horizontal="center" vertical="center"/>
    </xf>
    <xf numFmtId="0" fontId="1" fillId="0" borderId="9" applyAlignment="1" pivotButton="0" quotePrefix="0" xfId="0">
      <alignment horizontal="center" vertical="center"/>
    </xf>
    <xf numFmtId="0" fontId="1" fillId="0" borderId="9" applyAlignment="1" pivotButton="0" quotePrefix="0" xfId="0">
      <alignment horizontal="center" vertical="center" wrapText="1"/>
    </xf>
    <xf numFmtId="0" fontId="1" fillId="0" borderId="10" applyAlignment="1" pivotButton="0" quotePrefix="0" xfId="0">
      <alignment horizontal="center" vertical="center"/>
    </xf>
    <xf numFmtId="0" fontId="2" fillId="0" borderId="0" applyAlignment="1" pivotButton="0" quotePrefix="0" xfId="0">
      <alignment horizontal="center" vertical="center"/>
    </xf>
    <xf numFmtId="15" fontId="10" fillId="0" borderId="0" applyAlignment="1" pivotButton="0" quotePrefix="0" xfId="0">
      <alignment horizontal="left" vertical="center"/>
    </xf>
    <xf numFmtId="0" fontId="2" fillId="0" borderId="33" applyAlignment="1" pivotButton="0" quotePrefix="0" xfId="0">
      <alignment horizontal="center" vertical="center"/>
    </xf>
    <xf numFmtId="9" fontId="2" fillId="0" borderId="19" applyAlignment="1" pivotButton="0" quotePrefix="0" xfId="0">
      <alignment horizontal="center" vertical="center"/>
    </xf>
    <xf numFmtId="0" fontId="0" fillId="0" borderId="31" applyAlignment="1" pivotButton="0" quotePrefix="0" xfId="0">
      <alignment vertical="center"/>
    </xf>
    <xf numFmtId="0" fontId="0" fillId="0" borderId="0" applyAlignment="1" pivotButton="0" quotePrefix="0" xfId="0">
      <alignment vertical="center" wrapText="1"/>
    </xf>
    <xf numFmtId="0" fontId="3" fillId="0" borderId="1" applyAlignment="1" pivotButton="0" quotePrefix="0" xfId="0">
      <alignment vertical="center"/>
    </xf>
    <xf numFmtId="0" fontId="0" fillId="6" borderId="0" applyAlignment="1" pivotButton="0" quotePrefix="0" xfId="0">
      <alignment vertical="center"/>
    </xf>
    <xf numFmtId="0" fontId="1" fillId="6" borderId="6" applyAlignment="1" pivotButton="0" quotePrefix="0" xfId="0">
      <alignment vertical="center"/>
    </xf>
    <xf numFmtId="0" fontId="1" fillId="6" borderId="0" applyAlignment="1" pivotButton="0" quotePrefix="0" xfId="0">
      <alignment vertical="center"/>
    </xf>
    <xf numFmtId="0" fontId="1" fillId="6" borderId="7" applyAlignment="1" pivotButton="0" quotePrefix="0" xfId="0">
      <alignment vertical="center"/>
    </xf>
    <xf numFmtId="0" fontId="1" fillId="6" borderId="6" applyAlignment="1" pivotButton="0" quotePrefix="0" xfId="0">
      <alignment horizontal="left" vertical="center"/>
    </xf>
    <xf numFmtId="0" fontId="14" fillId="6" borderId="0" applyAlignment="1" pivotButton="0" quotePrefix="0" xfId="0">
      <alignment horizontal="left" vertical="center"/>
    </xf>
    <xf numFmtId="0" fontId="7" fillId="6" borderId="0" applyAlignment="1" pivotButton="0" quotePrefix="0" xfId="0">
      <alignment horizontal="left" vertical="center"/>
    </xf>
    <xf numFmtId="0" fontId="1" fillId="6" borderId="0" applyAlignment="1" pivotButton="0" quotePrefix="0" xfId="0">
      <alignment horizontal="left" vertical="center"/>
    </xf>
    <xf numFmtId="0" fontId="1" fillId="6" borderId="7" applyAlignment="1" pivotButton="0" quotePrefix="0" xfId="0">
      <alignment horizontal="left" vertical="center"/>
    </xf>
    <xf numFmtId="0" fontId="12" fillId="6" borderId="0" applyAlignment="1" pivotButton="0" quotePrefix="0" xfId="0">
      <alignment horizontal="left" vertical="center"/>
    </xf>
    <xf numFmtId="0" fontId="6" fillId="6" borderId="0" applyAlignment="1" pivotButton="0" quotePrefix="0" xfId="0">
      <alignment horizontal="left" vertical="center"/>
    </xf>
    <xf numFmtId="0" fontId="8" fillId="6" borderId="0" applyAlignment="1" pivotButton="0" quotePrefix="0" xfId="0">
      <alignment horizontal="left" vertical="center"/>
    </xf>
    <xf numFmtId="0" fontId="9" fillId="6" borderId="0" applyAlignment="1" pivotButton="0" quotePrefix="0" xfId="0">
      <alignment horizontal="left" vertical="center"/>
    </xf>
    <xf numFmtId="0" fontId="1" fillId="6" borderId="8" applyAlignment="1" pivotButton="0" quotePrefix="0" xfId="0">
      <alignment vertical="center"/>
    </xf>
    <xf numFmtId="0" fontId="1" fillId="6" borderId="9" applyAlignment="1" pivotButton="0" quotePrefix="0" xfId="0">
      <alignment vertical="center"/>
    </xf>
    <xf numFmtId="0" fontId="1" fillId="6" borderId="10" applyAlignment="1" pivotButton="0" quotePrefix="0" xfId="0">
      <alignment vertical="center"/>
    </xf>
    <xf numFmtId="0" fontId="0" fillId="6" borderId="0" pivotButton="0" quotePrefix="0" xfId="0"/>
    <xf numFmtId="0" fontId="1" fillId="6" borderId="0" pivotButton="0" quotePrefix="0" xfId="0"/>
    <xf numFmtId="0" fontId="1" fillId="6" borderId="8" pivotButton="0" quotePrefix="0" xfId="0"/>
    <xf numFmtId="0" fontId="1" fillId="6" borderId="9" pivotButton="0" quotePrefix="0" xfId="0"/>
    <xf numFmtId="0" fontId="1" fillId="6" borderId="9" applyAlignment="1" pivotButton="0" quotePrefix="0" xfId="0">
      <alignment vertical="top" wrapText="1"/>
    </xf>
    <xf numFmtId="0" fontId="1" fillId="6" borderId="10" applyAlignment="1" pivotButton="0" quotePrefix="0" xfId="0">
      <alignment vertical="top"/>
    </xf>
    <xf numFmtId="0" fontId="1" fillId="6" borderId="7" pivotButton="0" quotePrefix="0" xfId="0"/>
    <xf numFmtId="15" fontId="10" fillId="6" borderId="0" applyAlignment="1" pivotButton="0" quotePrefix="0" xfId="0">
      <alignment horizontal="left" vertical="center"/>
    </xf>
    <xf numFmtId="0" fontId="1" fillId="6" borderId="6" pivotButton="0" quotePrefix="0" xfId="0"/>
    <xf numFmtId="15" fontId="10" fillId="0" borderId="0" applyAlignment="1" pivotButton="0" quotePrefix="0" xfId="0">
      <alignment vertical="center"/>
    </xf>
    <xf numFmtId="0" fontId="14" fillId="0" borderId="0" applyAlignment="1" pivotButton="0" quotePrefix="0" xfId="0">
      <alignment vertical="center"/>
    </xf>
    <xf numFmtId="0" fontId="14" fillId="6" borderId="0" applyAlignment="1" pivotButton="0" quotePrefix="0" xfId="0">
      <alignment vertical="center"/>
    </xf>
    <xf numFmtId="0" fontId="1" fillId="6" borderId="9" applyAlignment="1" pivotButton="0" quotePrefix="0" xfId="0">
      <alignment vertical="center" wrapText="1"/>
    </xf>
    <xf numFmtId="0" fontId="0" fillId="0" borderId="0" applyAlignment="1" pivotButton="0" quotePrefix="0" xfId="0">
      <alignment horizontal="center" vertical="center" wrapText="1"/>
    </xf>
    <xf numFmtId="0" fontId="3" fillId="0" borderId="14" applyAlignment="1" pivotButton="0" quotePrefix="0" xfId="0">
      <alignment horizontal="center" vertical="center" wrapText="1"/>
    </xf>
    <xf numFmtId="9" fontId="3" fillId="0" borderId="14" applyAlignment="1" pivotButton="0" quotePrefix="0" xfId="0">
      <alignment horizontal="center" vertical="center" wrapText="1"/>
    </xf>
    <xf numFmtId="9" fontId="3" fillId="0" borderId="22" applyAlignment="1" pivotButton="0" quotePrefix="0" xfId="0">
      <alignment horizontal="center" vertical="center" wrapText="1"/>
    </xf>
    <xf numFmtId="9" fontId="3" fillId="0" borderId="1" applyAlignment="1" pivotButton="0" quotePrefix="0" xfId="0">
      <alignment horizontal="center" vertical="center" wrapText="1"/>
    </xf>
    <xf numFmtId="9" fontId="3" fillId="0" borderId="0" applyAlignment="1" pivotButton="0" quotePrefix="0" xfId="0">
      <alignment horizontal="center" vertical="center" wrapText="1"/>
    </xf>
    <xf numFmtId="0" fontId="0" fillId="0" borderId="0" applyAlignment="1" pivotButton="1" quotePrefix="0" xfId="0">
      <alignment horizontal="center" vertical="center" wrapText="1"/>
    </xf>
    <xf numFmtId="0" fontId="0"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0" fillId="0" borderId="36" applyAlignment="1" pivotButton="0" quotePrefix="0" xfId="0">
      <alignment horizontal="center" vertical="center" wrapText="1"/>
    </xf>
    <xf numFmtId="0" fontId="0" fillId="6" borderId="0" applyAlignment="1" pivotButton="0" quotePrefix="0" xfId="0">
      <alignment horizontal="center" vertical="center" wrapText="1"/>
    </xf>
    <xf numFmtId="0" fontId="0" fillId="0" borderId="29" applyAlignment="1" pivotButton="0" quotePrefix="0" xfId="0">
      <alignment horizontal="center" vertical="top"/>
    </xf>
    <xf numFmtId="0" fontId="1" fillId="5" borderId="14" applyAlignment="1" pivotButton="0" quotePrefix="0" xfId="0">
      <alignment horizontal="center" vertical="center"/>
    </xf>
    <xf numFmtId="0" fontId="1" fillId="0" borderId="14" applyAlignment="1" pivotButton="0" quotePrefix="0" xfId="0">
      <alignment vertical="center"/>
    </xf>
    <xf numFmtId="0" fontId="12" fillId="2" borderId="14" applyAlignment="1" pivotButton="0" quotePrefix="0" xfId="0">
      <alignment horizontal="left" vertical="center"/>
    </xf>
    <xf numFmtId="0" fontId="1" fillId="6" borderId="14" pivotButton="0" quotePrefix="0" xfId="0"/>
    <xf numFmtId="0" fontId="12" fillId="2" borderId="14" applyAlignment="1" pivotButton="0" quotePrefix="0" xfId="0">
      <alignment horizontal="center" vertical="center"/>
    </xf>
    <xf numFmtId="0" fontId="1" fillId="6" borderId="14" applyAlignment="1" pivotButton="0" quotePrefix="0" xfId="0">
      <alignment vertical="center"/>
    </xf>
    <xf numFmtId="0" fontId="3" fillId="0" borderId="20" applyAlignment="1" pivotButton="0" quotePrefix="0" xfId="0">
      <alignment horizontal="center" vertical="center" wrapText="1"/>
    </xf>
    <xf numFmtId="0" fontId="0" fillId="0" borderId="37" applyAlignment="1" pivotButton="0" quotePrefix="0" xfId="0">
      <alignment horizontal="center" vertical="center"/>
    </xf>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38" applyAlignment="1" pivotButton="0" quotePrefix="0" xfId="0">
      <alignment vertical="center"/>
    </xf>
    <xf numFmtId="0" fontId="0" fillId="0" borderId="39" applyAlignment="1" pivotButton="0" quotePrefix="0" xfId="0">
      <alignment vertical="center"/>
    </xf>
    <xf numFmtId="0" fontId="0" fillId="0" borderId="40" applyAlignment="1" pivotButton="0" quotePrefix="0" xfId="0">
      <alignment vertical="center"/>
    </xf>
    <xf numFmtId="0" fontId="0" fillId="0" borderId="41" applyAlignment="1" pivotButton="0" quotePrefix="0" xfId="0">
      <alignment vertical="center"/>
    </xf>
    <xf numFmtId="0" fontId="0" fillId="0" borderId="42" applyAlignment="1" pivotButton="0" quotePrefix="0" xfId="0">
      <alignment vertical="center"/>
    </xf>
    <xf numFmtId="0" fontId="0" fillId="0" borderId="43" applyAlignment="1" pivotButton="0" quotePrefix="0" xfId="0">
      <alignment vertical="center"/>
    </xf>
    <xf numFmtId="0" fontId="0" fillId="0" borderId="44" applyAlignment="1" pivotButton="0" quotePrefix="0" xfId="0">
      <alignment vertical="center"/>
    </xf>
    <xf numFmtId="0" fontId="0" fillId="0" borderId="45" applyAlignment="1" pivotButton="0" quotePrefix="0" xfId="0">
      <alignment vertical="center"/>
    </xf>
    <xf numFmtId="0" fontId="0" fillId="0" borderId="46" applyAlignment="1" pivotButton="0" quotePrefix="0" xfId="0">
      <alignment horizontal="center" vertical="center"/>
    </xf>
    <xf numFmtId="0" fontId="0" fillId="0" borderId="28" applyAlignment="1" pivotButton="0" quotePrefix="0" xfId="0">
      <alignment horizontal="center" vertical="center"/>
    </xf>
    <xf numFmtId="0" fontId="2" fillId="0" borderId="14" applyAlignment="1" pivotButton="0" quotePrefix="0" xfId="0">
      <alignment vertical="center"/>
    </xf>
    <xf numFmtId="0" fontId="20" fillId="0" borderId="14" pivotButton="0" quotePrefix="0" xfId="0"/>
    <xf numFmtId="0" fontId="0" fillId="0" borderId="19" applyAlignment="1" pivotButton="0" quotePrefix="0" xfId="0">
      <alignment horizontal="center" vertical="center"/>
    </xf>
    <xf numFmtId="0" fontId="0" fillId="0" borderId="21" applyAlignment="1" pivotButton="0" quotePrefix="0" xfId="0">
      <alignment horizontal="left" vertical="center"/>
    </xf>
    <xf numFmtId="0" fontId="0" fillId="0" borderId="14" applyAlignment="1" pivotButton="0" quotePrefix="0" xfId="0">
      <alignment horizontal="left"/>
    </xf>
    <xf numFmtId="0" fontId="0" fillId="0" borderId="30" applyAlignment="1" pivotButton="0" quotePrefix="0" xfId="0">
      <alignment horizontal="center" vertical="center"/>
    </xf>
    <xf numFmtId="0" fontId="1" fillId="0" borderId="28" applyAlignment="1" pivotButton="0" quotePrefix="0" xfId="0">
      <alignment horizontal="center" vertical="center"/>
    </xf>
    <xf numFmtId="0" fontId="2" fillId="0" borderId="14" applyAlignment="1" pivotButton="0" quotePrefix="0" xfId="0">
      <alignment horizontal="center" vertical="center"/>
    </xf>
    <xf numFmtId="0" fontId="21" fillId="0" borderId="20" applyAlignment="1" pivotButton="0" quotePrefix="0" xfId="0">
      <alignment horizontal="center"/>
    </xf>
    <xf numFmtId="0" fontId="21" fillId="0" borderId="14" applyAlignment="1" pivotButton="0" quotePrefix="0" xfId="0">
      <alignment horizontal="center"/>
    </xf>
    <xf numFmtId="0" fontId="0" fillId="0" borderId="47" applyAlignment="1" pivotButton="0" quotePrefix="0" xfId="0">
      <alignment horizontal="center" vertical="center"/>
    </xf>
    <xf numFmtId="0" fontId="2" fillId="0" borderId="48" applyAlignment="1" pivotButton="0" quotePrefix="0" xfId="0">
      <alignment horizontal="center" vertical="center"/>
    </xf>
    <xf numFmtId="0" fontId="0" fillId="0" borderId="21" applyAlignment="1" pivotButton="0" quotePrefix="0" xfId="0">
      <alignment vertical="center"/>
    </xf>
    <xf numFmtId="3" fontId="0" fillId="0" borderId="1" applyAlignment="1" pivotButton="0" quotePrefix="0" xfId="0">
      <alignment horizontal="center" vertical="center"/>
    </xf>
    <xf numFmtId="0" fontId="1" fillId="5" borderId="14" applyAlignment="1" pivotButton="0" quotePrefix="0" xfId="0">
      <alignment horizontal="center" vertical="center" wrapText="1"/>
    </xf>
    <xf numFmtId="0" fontId="22" fillId="0" borderId="14" pivotButton="0" quotePrefix="0" xfId="0"/>
    <xf numFmtId="0" fontId="0" fillId="0" borderId="21" applyAlignment="1" pivotButton="0" quotePrefix="0" xfId="0">
      <alignment horizontal="center" vertical="top"/>
    </xf>
    <xf numFmtId="0" fontId="22" fillId="0" borderId="20" pivotButton="0" quotePrefix="0" xfId="0"/>
    <xf numFmtId="0" fontId="22" fillId="0" borderId="21" pivotButton="0" quotePrefix="0" xfId="0"/>
    <xf numFmtId="9" fontId="2" fillId="0" borderId="14" applyAlignment="1" pivotButton="0" quotePrefix="0" xfId="0">
      <alignment horizontal="center" vertical="center"/>
    </xf>
    <xf numFmtId="0" fontId="2" fillId="0" borderId="49" applyAlignment="1" pivotButton="0" quotePrefix="0" xfId="0">
      <alignment horizontal="center" vertical="center"/>
    </xf>
    <xf numFmtId="9" fontId="2" fillId="0" borderId="29" applyAlignment="1" pivotButton="0" quotePrefix="0" xfId="0">
      <alignment horizontal="center" vertical="center"/>
    </xf>
    <xf numFmtId="0" fontId="0" fillId="0" borderId="21" applyAlignment="1" pivotButton="0" quotePrefix="0" xfId="0">
      <alignment horizontal="center" vertical="center"/>
    </xf>
    <xf numFmtId="0" fontId="0" fillId="0" borderId="50" applyAlignment="1" pivotButton="0" quotePrefix="0" xfId="0">
      <alignment horizontal="center" vertical="center"/>
    </xf>
    <xf numFmtId="9" fontId="0" fillId="0" borderId="21" applyAlignment="1" pivotButton="0" quotePrefix="0" xfId="0">
      <alignment horizontal="center" vertical="center"/>
    </xf>
    <xf numFmtId="0" fontId="2" fillId="0" borderId="1" pivotButton="0" quotePrefix="0" xfId="0"/>
    <xf numFmtId="9" fontId="23" fillId="7" borderId="14" applyAlignment="1" pivotButton="0" quotePrefix="0" xfId="0">
      <alignment horizontal="center"/>
    </xf>
    <xf numFmtId="0" fontId="24" fillId="0" borderId="1" pivotButton="0" quotePrefix="0" xfId="0"/>
    <xf numFmtId="0" fontId="2" fillId="0" borderId="1" applyAlignment="1" pivotButton="0" quotePrefix="0" xfId="0">
      <alignment horizontal="center"/>
    </xf>
    <xf numFmtId="9" fontId="2" fillId="0" borderId="1" applyAlignment="1" pivotButton="0" quotePrefix="0" xfId="0">
      <alignment horizontal="center"/>
    </xf>
    <xf numFmtId="0" fontId="11" fillId="0" borderId="15" applyAlignment="1" pivotButton="0" quotePrefix="0" xfId="0">
      <alignment horizontal="center" vertical="center"/>
    </xf>
    <xf numFmtId="0" fontId="11" fillId="0" borderId="16" applyAlignment="1" pivotButton="0" quotePrefix="0" xfId="0">
      <alignment horizontal="center" vertical="center"/>
    </xf>
    <xf numFmtId="0" fontId="11" fillId="0" borderId="17" applyAlignment="1" pivotButton="0" quotePrefix="0" xfId="0">
      <alignment horizontal="center" vertical="center"/>
    </xf>
    <xf numFmtId="0" fontId="11" fillId="0" borderId="6" applyAlignment="1" pivotButton="0" quotePrefix="0" xfId="0">
      <alignment horizontal="center" vertical="center"/>
    </xf>
    <xf numFmtId="0" fontId="11" fillId="0" borderId="0" applyAlignment="1" pivotButton="0" quotePrefix="0" xfId="0">
      <alignment horizontal="center" vertical="center"/>
    </xf>
    <xf numFmtId="0" fontId="11" fillId="0" borderId="7" applyAlignment="1" pivotButton="0" quotePrefix="0" xfId="0">
      <alignment horizontal="center" vertical="center"/>
    </xf>
    <xf numFmtId="0" fontId="14" fillId="0" borderId="0" applyAlignment="1" pivotButton="0" quotePrefix="0" xfId="0">
      <alignment horizontal="center" vertical="center"/>
    </xf>
    <xf numFmtId="0" fontId="13" fillId="3" borderId="0" applyAlignment="1" pivotButton="0" quotePrefix="0" xfId="0">
      <alignment horizontal="center" vertical="center"/>
    </xf>
    <xf numFmtId="0" fontId="10" fillId="0" borderId="14" applyAlignment="1" pivotButton="0" quotePrefix="0" xfId="0">
      <alignment horizontal="center" vertical="center"/>
    </xf>
    <xf numFmtId="0" fontId="14" fillId="6" borderId="0" applyAlignment="1" pivotButton="0" quotePrefix="0" xfId="0">
      <alignment horizontal="center" vertical="center"/>
    </xf>
    <xf numFmtId="0" fontId="14" fillId="6" borderId="14" applyAlignment="1" pivotButton="0" quotePrefix="0" xfId="0">
      <alignment horizontal="center" vertical="center"/>
    </xf>
    <xf numFmtId="0" fontId="10" fillId="6" borderId="14" applyAlignment="1" pivotButton="0" quotePrefix="0" xfId="0">
      <alignment horizontal="center" vertical="center"/>
    </xf>
    <xf numFmtId="0" fontId="13" fillId="3" borderId="0" applyAlignment="1" pivotButton="0" quotePrefix="0" xfId="0">
      <alignment horizontal="left" vertical="center"/>
    </xf>
    <xf numFmtId="0" fontId="10" fillId="0" borderId="0" applyAlignment="1" pivotButton="0" quotePrefix="0" xfId="0">
      <alignment horizontal="left" vertical="center"/>
    </xf>
    <xf numFmtId="0" fontId="10" fillId="0" borderId="25" applyAlignment="1" pivotButton="0" quotePrefix="0" xfId="0">
      <alignment horizontal="left" vertical="center"/>
    </xf>
    <xf numFmtId="0" fontId="14" fillId="0" borderId="0" applyAlignment="1" pivotButton="0" quotePrefix="0" xfId="0">
      <alignment horizontal="left" vertical="center"/>
    </xf>
    <xf numFmtId="0" fontId="10" fillId="0" borderId="24" applyAlignment="1" pivotButton="0" quotePrefix="0" xfId="0">
      <alignment horizontal="left" vertical="center"/>
    </xf>
    <xf numFmtId="15" fontId="10" fillId="0" borderId="0" applyAlignment="1" pivotButton="0" quotePrefix="0" xfId="0">
      <alignment horizontal="left" vertical="center"/>
    </xf>
    <xf numFmtId="0" fontId="19" fillId="3" borderId="0" applyAlignment="1" pivotButton="0" quotePrefix="0" xfId="0">
      <alignment horizontal="left" vertical="center"/>
    </xf>
    <xf numFmtId="0" fontId="11" fillId="0" borderId="51" applyAlignment="1" pivotButton="0" quotePrefix="0" xfId="0">
      <alignment horizontal="center" vertical="center"/>
    </xf>
    <xf numFmtId="0" fontId="0" fillId="0" borderId="19" pivotButton="0" quotePrefix="0" xfId="0"/>
    <xf numFmtId="0" fontId="0" fillId="0" borderId="25" pivotButton="0" quotePrefix="0" xfId="0"/>
    <xf numFmtId="0" fontId="10" fillId="0" borderId="52" applyAlignment="1" pivotButton="0" quotePrefix="0" xfId="0">
      <alignment horizontal="left" vertical="center"/>
    </xf>
  </cellXfs>
  <cellStyles count="2">
    <cellStyle name="Normal" xfId="0" builtinId="0"/>
    <cellStyle name="Percent" xfId="1" builtinId="5"/>
  </cellStyles>
  <dxfs count="474">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numFmt numFmtId="1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pivotCacheDefinition" Target="/xl/pivotCache/pivotCacheDefinition1.xml" Id="rId29"/><Relationship Type="http://schemas.openxmlformats.org/officeDocument/2006/relationships/pivotCacheDefinition" Target="/xl/pivotCache/pivotCacheDefinition2.xml" Id="rId30"/><Relationship Type="http://schemas.openxmlformats.org/officeDocument/2006/relationships/pivotCacheDefinition" Target="/xl/pivotCache/pivotCacheDefinition3.xml" Id="rId31"/><Relationship Type="http://schemas.openxmlformats.org/officeDocument/2006/relationships/pivotCacheDefinition" Target="/xl/pivotCache/pivotCacheDefinition4.xml" Id="rId32"/><Relationship Type="http://schemas.openxmlformats.org/officeDocument/2006/relationships/pivotCacheDefinition" Target="/xl/pivotCache/pivotCacheDefinition5.xml" Id="rId33"/><Relationship Type="http://schemas.openxmlformats.org/officeDocument/2006/relationships/pivotCacheDefinition" Target="/xl/pivotCache/pivotCacheDefinition6.xml" Id="rId34"/><Relationship Type="http://schemas.openxmlformats.org/officeDocument/2006/relationships/pivotCacheDefinition" Target="/xl/pivotCache/pivotCacheDefinition7.xml" Id="rId35"/><Relationship Type="http://schemas.openxmlformats.org/officeDocument/2006/relationships/pivotCacheDefinition" Target="/xl/pivotCache/pivotCacheDefinition8.xml" Id="rId36"/><Relationship Type="http://schemas.openxmlformats.org/officeDocument/2006/relationships/pivotCacheDefinition" Target="/xl/pivotCache/pivotCacheDefinition9.xml" Id="rId37"/><Relationship Type="http://schemas.openxmlformats.org/officeDocument/2006/relationships/pivotCacheDefinition" Target="/xl/pivotCache/pivotCacheDefinition10.xml" Id="rId38"/><Relationship Type="http://schemas.openxmlformats.org/officeDocument/2006/relationships/pivotCacheDefinition" Target="/xl/pivotCache/pivotCacheDefinition11.xml" Id="rId39"/><Relationship Type="http://schemas.openxmlformats.org/officeDocument/2006/relationships/pivotCacheDefinition" Target="/xl/pivotCache/pivotCacheDefinition12.xml" Id="rId40"/><Relationship Type="http://schemas.openxmlformats.org/officeDocument/2006/relationships/pivotCacheDefinition" Target="/xl/pivotCache/pivotCacheDefinition13.xml" Id="rId41"/><Relationship Type="http://schemas.openxmlformats.org/officeDocument/2006/relationships/pivotCacheDefinition" Target="/xl/pivotCache/pivotCacheDefinition14.xml" Id="rId42"/><Relationship Type="http://schemas.openxmlformats.org/officeDocument/2006/relationships/pivotCacheDefinition" Target="/xl/pivotCache/pivotCacheDefinition15.xml" Id="rId43"/><Relationship Type="http://schemas.openxmlformats.org/officeDocument/2006/relationships/pivotCacheDefinition" Target="/xl/pivotCache/pivotCacheDefinition16.xml" Id="rId44"/><Relationship Type="http://schemas.openxmlformats.org/officeDocument/2006/relationships/pivotCacheDefinition" Target="/xl/pivotCache/pivotCacheDefinition17.xml" Id="rId45"/><Relationship Type="http://schemas.openxmlformats.org/officeDocument/2006/relationships/pivotCacheDefinition" Target="/xl/pivotCache/pivotCacheDefinition18.xml" Id="rId46"/><Relationship Type="http://schemas.openxmlformats.org/officeDocument/2006/relationships/pivotCacheDefinition" Target="/xl/pivotCache/pivotCacheDefinition19.xml" Id="rId47"/><Relationship Type="http://schemas.openxmlformats.org/officeDocument/2006/relationships/pivotCacheDefinition" Target="/xl/pivotCache/pivotCacheDefinition20.xml" Id="rId48"/><Relationship Type="http://schemas.openxmlformats.org/officeDocument/2006/relationships/pivotCacheDefinition" Target="/xl/pivotCache/pivotCacheDefinition21.xml" Id="rId49"/><Relationship Type="http://schemas.openxmlformats.org/officeDocument/2006/relationships/pivotCacheDefinition" Target="/xl/pivotCache/pivotCacheDefinition22.xml" Id="rId50"/><Relationship Type="http://schemas.openxmlformats.org/officeDocument/2006/relationships/pivotCacheDefinition" Target="/xl/pivotCache/pivotCacheDefinition23.xml" Id="rId51"/><Relationship Type="http://schemas.openxmlformats.org/officeDocument/2006/relationships/pivotCacheDefinition" Target="/xl/pivotCache/pivotCacheDefinition24.xml" Id="rId52"/><Relationship Type="http://schemas.openxmlformats.org/officeDocument/2006/relationships/pivotCacheDefinition" Target="/xl/pivotCache/pivotCacheDefinition25.xml" Id="rId53"/><Relationship Type="http://schemas.openxmlformats.org/officeDocument/2006/relationships/pivotCacheDefinition" Target="/xl/pivotCache/pivotCacheDefinition26.xml" Id="rId54"/><Relationship Type="http://schemas.openxmlformats.org/officeDocument/2006/relationships/pivotCacheDefinition" Target="/xl/pivotCache/pivotCacheDefinition27.xml" Id="rId55"/><Relationship Type="http://schemas.openxmlformats.org/officeDocument/2006/relationships/pivotCacheDefinition" Target="/xl/pivotCache/pivotCacheDefinition28.xml" Id="rId56"/><Relationship Type="http://schemas.openxmlformats.org/officeDocument/2006/relationships/pivotCacheDefinition" Target="/xl/pivotCache/pivotCacheDefinition29.xml" Id="rId57"/><Relationship Type="http://schemas.openxmlformats.org/officeDocument/2006/relationships/pivotCacheDefinition" Target="/xl/pivotCache/pivotCacheDefinition30.xml" Id="rId58"/><Relationship Type="http://schemas.openxmlformats.org/officeDocument/2006/relationships/pivotCacheDefinition" Target="/xl/pivotCache/pivotCacheDefinition31.xml" Id="rId59"/><Relationship Type="http://schemas.openxmlformats.org/officeDocument/2006/relationships/pivotCacheDefinition" Target="/xl/pivotCache/pivotCacheDefinition32.xml" Id="rId60"/><Relationship Type="http://schemas.openxmlformats.org/officeDocument/2006/relationships/pivotCacheDefinition" Target="/xl/pivotCache/pivotCacheDefinition33.xml" Id="rId61"/><Relationship Type="http://schemas.openxmlformats.org/officeDocument/2006/relationships/pivotCacheDefinition" Target="/xl/pivotCache/pivotCacheDefinition34.xml" Id="rId62"/><Relationship Type="http://schemas.openxmlformats.org/officeDocument/2006/relationships/pivotCacheDefinition" Target="/xl/pivotCache/pivotCacheDefinition35.xml" Id="rId63"/><Relationship Type="http://schemas.openxmlformats.org/officeDocument/2006/relationships/pivotCacheDefinition" Target="/xl/pivotCache/pivotCacheDefinition36.xml" Id="rId64"/><Relationship Type="http://schemas.openxmlformats.org/officeDocument/2006/relationships/pivotCacheDefinition" Target="/xl/pivotCache/pivotCacheDefinition37.xml" Id="rId65"/><Relationship Type="http://schemas.openxmlformats.org/officeDocument/2006/relationships/pivotCacheDefinition" Target="/xl/pivotCache/pivotCacheDefinition38.xml" Id="rId66"/><Relationship Type="http://schemas.openxmlformats.org/officeDocument/2006/relationships/pivotCacheDefinition" Target="/xl/pivotCache/pivotCacheDefinition39.xml" Id="rId67"/><Relationship Type="http://schemas.openxmlformats.org/officeDocument/2006/relationships/pivotCacheDefinition" Target="/xl/pivotCache/pivotCacheDefinition40.xml" Id="rId68"/><Relationship Type="http://schemas.openxmlformats.org/officeDocument/2006/relationships/pivotCacheDefinition" Target="/xl/pivotCache/pivotCacheDefinition41.xml" Id="rId69"/><Relationship Type="http://schemas.openxmlformats.org/officeDocument/2006/relationships/pivotCacheDefinition" Target="/xl/pivotCache/pivotCacheDefinition42.xml" Id="rId70"/><Relationship Type="http://schemas.openxmlformats.org/officeDocument/2006/relationships/pivotCacheDefinition" Target="/xl/pivotCache/pivotCacheDefinition43.xml" Id="rId71"/><Relationship Type="http://schemas.openxmlformats.org/officeDocument/2006/relationships/pivotCacheDefinition" Target="/xl/pivotCache/pivotCacheDefinition44.xml" Id="rId72"/><Relationship Type="http://schemas.openxmlformats.org/officeDocument/2006/relationships/pivotCacheDefinition" Target="/xl/pivotCache/pivotCacheDefinition45.xml" Id="rId73"/><Relationship Type="http://schemas.openxmlformats.org/officeDocument/2006/relationships/pivotCacheDefinition" Target="/xl/pivotCache/pivotCacheDefinition46.xml" Id="rId74"/><Relationship Type="http://schemas.openxmlformats.org/officeDocument/2006/relationships/pivotCacheDefinition" Target="/xl/pivotCache/pivotCacheDefinition47.xml" Id="rId75"/><Relationship Type="http://schemas.openxmlformats.org/officeDocument/2006/relationships/pivotCacheDefinition" Target="/xl/pivotCache/pivotCacheDefinition48.xml" Id="rId76"/><Relationship Type="http://schemas.openxmlformats.org/officeDocument/2006/relationships/pivotCacheDefinition" Target="/xl/pivotCache/pivotCacheDefinition49.xml" Id="rId77"/><Relationship Type="http://schemas.openxmlformats.org/officeDocument/2006/relationships/pivotCacheDefinition" Target="/xl/pivotCache/pivotCacheDefinition50.xml" Id="rId78"/><Relationship Type="http://schemas.openxmlformats.org/officeDocument/2006/relationships/pivotCacheDefinition" Target="/xl/pivotCache/pivotCacheDefinition51.xml" Id="rId79"/><Relationship Type="http://schemas.openxmlformats.org/officeDocument/2006/relationships/pivotCacheDefinition" Target="/xl/pivotCache/pivotCacheDefinition52.xml" Id="rId80"/><Relationship Type="http://schemas.openxmlformats.org/officeDocument/2006/relationships/styles" Target="styles.xml" Id="rId81"/><Relationship Type="http://schemas.openxmlformats.org/officeDocument/2006/relationships/theme" Target="theme/theme1.xml" Id="rId82"/></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568799327343818"/>
          <y val="0.049482118248320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Web Kanban'!$AI$12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Kanban'!$AI$13:$AI$18</f>
              <numCache>
                <formatCode>General</formatCode>
                <ptCount val="6"/>
                <pt idx="0">
                  <v>20</v>
                </pt>
                <pt idx="1">
                  <v>24</v>
                </pt>
                <pt idx="2">
                  <v>22</v>
                </pt>
                <pt idx="3">
                  <v>17</v>
                </pt>
                <pt idx="4">
                  <v>29</v>
                </pt>
                <pt idx="5">
                  <v>23</v>
                </pt>
              </numCache>
            </numRef>
          </val>
        </ser>
        <ser>
          <idx val="1"/>
          <order val="1"/>
          <tx>
            <strRef>
              <f>'Consumer Web Kanban'!$AJ$12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Kanban'!$AJ$13:$AJ$18</f>
              <numCache>
                <formatCode>General</formatCode>
                <ptCount val="6"/>
                <pt idx="0">
                  <v>103</v>
                </pt>
                <pt idx="1">
                  <v>114</v>
                </pt>
                <pt idx="2">
                  <v>113</v>
                </pt>
                <pt idx="3">
                  <v>93</v>
                </pt>
                <pt idx="4">
                  <v>116</v>
                </pt>
                <pt idx="5">
                  <v>108</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Web Kanban'!$AI$35</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Kanban'!$AI$36:$AI$41</f>
              <numCache>
                <formatCode>0%</formatCode>
                <ptCount val="6"/>
                <pt idx="0">
                  <v>0</v>
                </pt>
                <pt idx="1">
                  <v>0</v>
                </pt>
                <pt idx="2">
                  <v>0</v>
                </pt>
                <pt idx="3">
                  <v>0</v>
                </pt>
                <pt idx="4">
                  <v>0</v>
                </pt>
                <pt idx="5">
                  <v>0</v>
                </pt>
              </numCache>
            </numRef>
          </val>
          <smooth val="0"/>
        </ser>
        <ser>
          <idx val="1"/>
          <order val="1"/>
          <tx>
            <strRef>
              <f>'Consumer Web Kanban'!$AJ$35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Kanban'!$AJ$36:$AJ$41</f>
              <numCache>
                <formatCode>0%</formatCode>
                <ptCount val="6"/>
                <pt idx="0">
                  <v>0</v>
                </pt>
                <pt idx="1">
                  <v>0</v>
                </pt>
                <pt idx="2">
                  <v>0</v>
                </pt>
                <pt idx="3">
                  <v>0.1764705882352941</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Web Kanban'!$AM$35</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Kanban'!$AM$36:$AM$41</f>
              <numCache>
                <formatCode>General</formatCode>
                <ptCount val="6"/>
                <pt idx="0">
                  <v>0</v>
                </pt>
                <pt idx="1">
                  <v>0</v>
                </pt>
                <pt idx="2">
                  <v>0</v>
                </pt>
                <pt idx="3">
                  <v>0</v>
                </pt>
                <pt idx="4">
                  <v>0</v>
                </pt>
                <pt idx="5">
                  <v>0</v>
                </pt>
              </numCache>
            </numRef>
          </val>
          <smooth val="0"/>
        </ser>
        <ser>
          <idx val="1"/>
          <order val="1"/>
          <tx>
            <strRef>
              <f>'Consumer Web Kanban'!$AN$35</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Kanban'!$AN$36:$AN$41</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Web Kanban'!$AM$57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Kanban'!$AL$58:$AL$63</f>
              <strCache>
                <ptCount val="6"/>
                <pt idx="0">
                  <v>2025: LCW 12/01- 12/31</v>
                </pt>
                <pt idx="1">
                  <v>2026: LCW 01/01 - 01/31</v>
                </pt>
                <pt idx="2">
                  <v>2026: LCW 02/01 - 02/28</v>
                </pt>
                <pt idx="3">
                  <v>2026: LCW 03/01 - 03/31</v>
                </pt>
                <pt idx="4">
                  <v>2026: LCW 04/01 - 04/30</v>
                </pt>
                <pt idx="5">
                  <v>2026: LCW 05/01 - 05/31</v>
                </pt>
              </strCache>
            </strRef>
          </cat>
          <val>
            <numRef>
              <f>'Consumer Web Kanban'!$AM$58:$AM$63</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Web Kanban'!$AL$15:$AL$16</f>
              <strCache>
                <ptCount val="2"/>
                <pt idx="0">
                  <v>QA Passed</v>
                </pt>
                <pt idx="1">
                  <v>Rework</v>
                </pt>
              </strCache>
            </strRef>
          </cat>
          <val>
            <numRef>
              <f>'Consumer Web Kanban'!$AM$15:$AM$16</f>
              <numCache>
                <formatCode>General</formatCode>
                <ptCount val="2"/>
                <pt idx="0">
                  <v>135</v>
                </pt>
                <pt idx="1">
                  <v>3</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'Consumer Web Kanban'!$AI$68</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Kanban'!$AI$69:$AI$74</f>
              <numCache>
                <formatCode>General</formatCode>
                <ptCount val="6"/>
                <pt idx="0">
                  <v>0</v>
                </pt>
                <pt idx="1">
                  <v>0</v>
                </pt>
                <pt idx="2">
                  <v>0</v>
                </pt>
                <pt idx="3">
                  <v>3</v>
                </pt>
                <pt idx="4">
                  <v>0</v>
                </pt>
                <pt idx="5">
                  <v>0</v>
                </pt>
              </numCache>
            </numRef>
          </val>
          <smooth val="0"/>
        </ser>
        <ser>
          <idx val="1"/>
          <order val="1"/>
          <tx>
            <strRef>
              <f>'Consumer Web Kanban'!$AJ$68</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Kanban'!$AJ$69:$AJ$74</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layout>
        <manualLayout>
          <xMode val="edge"/>
          <yMode val="edge"/>
          <wMode val="factor"/>
          <hMode val="factor"/>
          <x val="0.3823848563447371"/>
          <y val="0.05383062120578647"/>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US"/>
        </a:p>
      </txPr>
    </title>
    <plotArea>
      <layout/>
      <barChart>
        <barDir val="col"/>
        <grouping val="stacked"/>
        <varyColors val="0"/>
        <ser>
          <idx val="0"/>
          <order val="0"/>
          <tx>
            <strRef>
              <f>SEOD!$AI$12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SEOD!$AI$13:$AI$18</f>
              <numCache>
                <formatCode>General</formatCode>
                <ptCount val="6"/>
                <pt idx="0">
                  <v>4</v>
                </pt>
                <pt idx="1">
                  <v>17</v>
                </pt>
                <pt idx="2">
                  <v>8</v>
                </pt>
                <pt idx="3">
                  <v>16</v>
                </pt>
                <pt idx="4">
                  <v>11</v>
                </pt>
                <pt idx="5">
                  <v>6</v>
                </pt>
              </numCache>
            </numRef>
          </val>
        </ser>
        <ser>
          <idx val="1"/>
          <order val="1"/>
          <tx>
            <strRef>
              <f>SEOD!$AJ$12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SEOD!$AJ$13:$AJ$18</f>
              <numCache>
                <formatCode>General</formatCode>
                <ptCount val="6"/>
                <pt idx="0">
                  <v>22</v>
                </pt>
                <pt idx="1">
                  <v>14</v>
                </pt>
                <pt idx="2">
                  <v>28</v>
                </pt>
                <pt idx="3">
                  <v>29</v>
                </pt>
                <pt idx="4">
                  <v>29</v>
                </pt>
                <pt idx="5">
                  <v>18</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SEOD!$AI$35</f>
              <strCache>
                <ptCount val="1"/>
                <pt idx="0">
                  <v>V2</v>
                </pt>
              </strCache>
            </strRef>
          </tx>
          <spPr>
            <a:ln xmlns:a="http://schemas.openxmlformats.org/drawingml/2006/main" w="28575" cap="rnd">
              <a:solidFill>
                <a:srgbClr val="4472C4"/>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SEOD!$AI$36:$AI$41</f>
              <numCache>
                <formatCode>0%</formatCode>
                <ptCount val="6"/>
                <pt idx="0">
                  <v>0.1818181818181818</v>
                </pt>
                <pt idx="1">
                  <v>0</v>
                </pt>
                <pt idx="2">
                  <v>0.25</v>
                </pt>
                <pt idx="3">
                  <v>0.3448275862068966</v>
                </pt>
                <pt idx="4">
                  <v>0.3793103448275862</v>
                </pt>
                <pt idx="5">
                  <v>0</v>
                </pt>
              </numCache>
            </numRef>
          </val>
          <smooth val="0"/>
        </ser>
        <ser>
          <idx val="1"/>
          <order val="1"/>
          <tx>
            <strRef>
              <f>SEOD!$AJ$35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SEOD!$AJ$36:$AJ$41</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SEOD!$AM$35</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SEOD!$AM$36:$AM$41</f>
              <numCache>
                <formatCode>General</formatCode>
                <ptCount val="6"/>
                <pt idx="0">
                  <v>0</v>
                </pt>
                <pt idx="1">
                  <v>0</v>
                </pt>
                <pt idx="2">
                  <v>0</v>
                </pt>
                <pt idx="3">
                  <v>0</v>
                </pt>
                <pt idx="4">
                  <v>0</v>
                </pt>
                <pt idx="5">
                  <v>0</v>
                </pt>
              </numCache>
            </numRef>
          </val>
          <smooth val="0"/>
        </ser>
        <ser>
          <idx val="1"/>
          <order val="1"/>
          <tx>
            <v>LT (7 Dev)</v>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SEOD!$AN$36:$AN$41</f>
              <numCache>
                <formatCode>General</formatCode>
                <ptCount val="6"/>
                <pt idx="0">
                  <v>0.09090909090909091</v>
                </pt>
                <pt idx="1">
                  <v>0</v>
                </pt>
                <pt idx="2">
                  <v>0.2142857142857143</v>
                </pt>
                <pt idx="3">
                  <v>0</v>
                </pt>
                <pt idx="4">
                  <v>0.5517241379310345</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SEOD!$AM$57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SEOD!$AL$58:$AL$63</f>
              <strCache>
                <ptCount val="6"/>
                <pt idx="0">
                  <v>SEOD 03/10 - 03/24</v>
                </pt>
                <pt idx="1">
                  <v>SEOD 03/24 - 04/07</v>
                </pt>
                <pt idx="2">
                  <v>SEOD 04/07 - 04/21</v>
                </pt>
                <pt idx="3">
                  <v>SEOD 04/21 - 05/05</v>
                </pt>
                <pt idx="4">
                  <v>SEOD 05/05 - 05/19</v>
                </pt>
                <pt idx="5">
                  <v>SEOD 05/19 - 05/31</v>
                </pt>
              </strCache>
            </strRef>
          </cat>
          <val>
            <numRef>
              <f>SEOD!$AM$58:$AM$63</f>
              <numCache>
                <formatCode>0%</formatCode>
                <ptCount val="6"/>
                <pt idx="0">
                  <v>0.9230769230769231</v>
                </pt>
                <pt idx="1">
                  <v>1</v>
                </pt>
                <pt idx="2">
                  <v>0.8333333333333334</v>
                </pt>
                <pt idx="3">
                  <v>1</v>
                </pt>
                <pt idx="4">
                  <v>0.6</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SEOD!$AL$15:$AL$16</f>
              <strCache>
                <ptCount val="2"/>
                <pt idx="0">
                  <v>QA Passed</v>
                </pt>
                <pt idx="1">
                  <v>Rework</v>
                </pt>
              </strCache>
            </strRef>
          </cat>
          <val>
            <numRef>
              <f>SEOD!$AM$15:$AM$16</f>
              <numCache>
                <formatCode>General</formatCode>
                <ptCount val="2"/>
                <pt idx="0">
                  <v>62</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SEOD!$AI$49:$AI$54</f>
              <numCache>
                <formatCode>General</formatCode>
                <ptCount val="6"/>
                <pt idx="0">
                  <v>0</v>
                </pt>
                <pt idx="1">
                  <v>0</v>
                </pt>
                <pt idx="2">
                  <v>0</v>
                </pt>
                <pt idx="3">
                  <v>0</v>
                </pt>
                <pt idx="4">
                  <v>0</v>
                </pt>
                <pt idx="5">
                  <v>0</v>
                </pt>
              </numCache>
            </numRef>
          </val>
          <smooth val="0"/>
        </ser>
        <ser>
          <idx val="1"/>
          <order val="1"/>
          <tx>
            <strRef>
              <f>SEOD!$AJ$48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SEOD!$AJ$49:$AJ$54</f>
              <numCache>
                <formatCode>General</formatCode>
                <ptCount val="6"/>
                <pt idx="0">
                  <v>4</v>
                </pt>
                <pt idx="1">
                  <v>0</v>
                </pt>
                <pt idx="2">
                  <v>7</v>
                </pt>
                <pt idx="3">
                  <v>10</v>
                </pt>
                <pt idx="4">
                  <v>11</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SEOD!$AI$70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SEOD!$AI$71:$AI$76</f>
              <numCache>
                <formatCode>General</formatCode>
                <ptCount val="6"/>
                <pt idx="0">
                  <v>0</v>
                </pt>
                <pt idx="1">
                  <v>0</v>
                </pt>
                <pt idx="2">
                  <v>0</v>
                </pt>
                <pt idx="3">
                  <v>0</v>
                </pt>
                <pt idx="4">
                  <v>0</v>
                </pt>
                <pt idx="5">
                  <v>0</v>
                </pt>
              </numCache>
            </numRef>
          </val>
          <smooth val="0"/>
        </ser>
        <ser>
          <idx val="1"/>
          <order val="1"/>
          <tx>
            <strRef>
              <f>SEOD!$AJ$70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SEOD!$AJ$71:$AJ$76</f>
              <numCache>
                <formatCode>General</formatCode>
                <ptCount val="6"/>
                <pt idx="0">
                  <v>2</v>
                </pt>
                <pt idx="1">
                  <v>0</v>
                </pt>
                <pt idx="2">
                  <v>6</v>
                </pt>
                <pt idx="3">
                  <v>0</v>
                </pt>
                <pt idx="4">
                  <v>16</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'WPM Scrum '!$AI$36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'!$AI$37:$AI$42</f>
              <numCache>
                <formatCode>0%</formatCode>
                <ptCount val="6"/>
                <pt idx="0">
                  <v>0.2571428571428571</v>
                </pt>
                <pt idx="1">
                  <v>0.186046511627907</v>
                </pt>
                <pt idx="2">
                  <v>0.3809523809523809</v>
                </pt>
                <pt idx="3">
                  <v>0.5</v>
                </pt>
                <pt idx="4">
                  <v>0</v>
                </pt>
                <pt idx="5">
                  <v>0</v>
                </pt>
              </numCache>
            </numRef>
          </val>
          <smooth val="0"/>
        </ser>
        <ser>
          <idx val="1"/>
          <order val="1"/>
          <tx>
            <strRef>
              <f>'WPM Scrum '!$AJ$36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'!$AJ$37:$AJ$42</f>
              <numCache>
                <formatCode>0%</formatCode>
                <ptCount val="6"/>
                <pt idx="0">
                  <v>0.1666666666666667</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'!$AM$37:$AM$42</f>
              <numCache>
                <formatCode>General</formatCode>
                <ptCount val="6"/>
                <pt idx="0">
                  <v>0</v>
                </pt>
                <pt idx="1">
                  <v>0</v>
                </pt>
                <pt idx="2">
                  <v>0</v>
                </pt>
                <pt idx="3">
                  <v>1.5</v>
                </pt>
                <pt idx="4">
                  <v>0</v>
                </pt>
                <pt idx="5">
                  <v>0</v>
                </pt>
              </numCache>
            </numRef>
          </val>
          <smooth val="0"/>
        </ser>
        <ser>
          <idx val="1"/>
          <order val="1"/>
          <tx>
            <strRef>
              <f>'WPM Scrum '!$AN$36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'!$AN$37:$AN$42</f>
              <numCache>
                <formatCode>General</formatCode>
                <ptCount val="6"/>
                <pt idx="0">
                  <v>0.4857142857142857</v>
                </pt>
                <pt idx="1">
                  <v>0</v>
                </pt>
                <pt idx="2">
                  <v>0.5238095238095238</v>
                </pt>
                <pt idx="3">
                  <v>0.6111111111111112</v>
                </pt>
                <pt idx="4">
                  <v>0</v>
                </pt>
                <pt idx="5">
                  <v>0.1363636363636364</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1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'WPM Scrum '!$AM$58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'!$AL$59:$AL$64</f>
              <strCache>
                <ptCount val="6"/>
                <pt idx="0">
                  <v>WPM 02/26 - 03/12</v>
                </pt>
                <pt idx="1">
                  <v>WPM 03/12 - 03/26</v>
                </pt>
                <pt idx="2">
                  <v>WPM 03/26 - 04/09</v>
                </pt>
                <pt idx="3">
                  <v>WPM 04/09 - 04/23</v>
                </pt>
                <pt idx="4">
                  <v>WPM 04/23 - 05/07</v>
                </pt>
                <pt idx="5">
                  <v>WPM 05/07 - 05/21</v>
                </pt>
              </strCache>
            </strRef>
          </cat>
          <val>
            <numRef>
              <f>'WPM Scrum '!$AM$59:$AM$64</f>
              <numCache>
                <formatCode>0%</formatCode>
                <ptCount val="6"/>
                <pt idx="0">
                  <v>0.7068965517241379</v>
                </pt>
                <pt idx="1">
                  <v>1</v>
                </pt>
                <pt idx="2">
                  <v>0.725</v>
                </pt>
                <pt idx="3">
                  <v>0.5882352941176471</v>
                </pt>
                <pt idx="4">
                  <v>1</v>
                </pt>
                <pt idx="5">
                  <v>0.9117647058823529</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'WPM Scrum '!$AI$50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'!$AI$51:$AI$56</f>
              <numCache>
                <formatCode>General</formatCode>
                <ptCount val="6"/>
                <pt idx="0">
                  <v>6</v>
                </pt>
                <pt idx="1">
                  <v>15</v>
                </pt>
                <pt idx="2">
                  <v>8</v>
                </pt>
                <pt idx="3">
                  <v>2</v>
                </pt>
                <pt idx="4">
                  <v>15</v>
                </pt>
                <pt idx="5">
                  <v>9</v>
                </pt>
              </numCache>
            </numRef>
          </val>
        </ser>
        <ser>
          <idx val="1"/>
          <order val="1"/>
          <tx>
            <strRef>
              <f>'WPM Scrum '!$AJ$50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'!$AJ$51:$AJ$56</f>
              <numCache>
                <formatCode>General</formatCode>
                <ptCount val="6"/>
                <pt idx="0">
                  <v>35</v>
                </pt>
                <pt idx="1">
                  <v>43</v>
                </pt>
                <pt idx="2">
                  <v>21</v>
                </pt>
                <pt idx="3">
                  <v>18</v>
                </pt>
                <pt idx="4">
                  <v>26</v>
                </pt>
                <pt idx="5">
                  <v>22</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'WPM Scrum '!$AL$15:$AL$16</f>
              <strCache>
                <ptCount val="2"/>
                <pt idx="0">
                  <v>QA Passed</v>
                </pt>
                <pt idx="1">
                  <v>Rework</v>
                </pt>
              </strCache>
            </strRef>
          </cat>
          <val>
            <numRef>
              <f>'WPM Scrum '!$AM$15:$AM$16</f>
              <numCache>
                <formatCode>General</formatCode>
                <ptCount val="2"/>
                <pt idx="0">
                  <v>55</v>
                </pt>
                <pt idx="1">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'!$AI$62:$AI$67</f>
              <numCache>
                <formatCode>General</formatCode>
                <ptCount val="6"/>
                <pt idx="0">
                  <v>1</v>
                </pt>
                <pt idx="1">
                  <v>0</v>
                </pt>
                <pt idx="2">
                  <v>0</v>
                </pt>
                <pt idx="3">
                  <v>0</v>
                </pt>
                <pt idx="4">
                  <v>0</v>
                </pt>
                <pt idx="5">
                  <v>0</v>
                </pt>
              </numCache>
            </numRef>
          </val>
          <smooth val="0"/>
        </ser>
        <ser>
          <idx val="1"/>
          <order val="1"/>
          <tx>
            <strRef>
              <f>'WPM Scrum '!$AJ$61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'!$AJ$62:$AJ$67</f>
              <numCache>
                <formatCode>General</formatCode>
                <ptCount val="6"/>
                <pt idx="0">
                  <v>9</v>
                </pt>
                <pt idx="1">
                  <v>8</v>
                </pt>
                <pt idx="2">
                  <v>8</v>
                </pt>
                <pt idx="3">
                  <v>9</v>
                </pt>
                <pt idx="4">
                  <v>0</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'!$AI$72:$AI$77</f>
              <numCache>
                <formatCode>General</formatCode>
                <ptCount val="6"/>
                <pt idx="0">
                  <v>0</v>
                </pt>
                <pt idx="1">
                  <v>0</v>
                </pt>
                <pt idx="2">
                  <v>0</v>
                </pt>
                <pt idx="3">
                  <v>3</v>
                </pt>
                <pt idx="4">
                  <v>0</v>
                </pt>
                <pt idx="5">
                  <v>0</v>
                </pt>
              </numCache>
            </numRef>
          </val>
          <smooth val="0"/>
        </ser>
        <ser>
          <idx val="1"/>
          <order val="1"/>
          <tx>
            <strRef>
              <f>'WPM Scrum '!$AJ$71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'!$AJ$72:$AJ$77</f>
              <numCache>
                <formatCode>General</formatCode>
                <ptCount val="6"/>
                <pt idx="0">
                  <v>17</v>
                </pt>
                <pt idx="1">
                  <v>0</v>
                </pt>
                <pt idx="2">
                  <v>11</v>
                </pt>
                <pt idx="3">
                  <v>11</v>
                </pt>
                <pt idx="4">
                  <v>0</v>
                </pt>
                <pt idx="5">
                  <v>3</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Experience Team'!$AI$36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Team'!$AI$37:$AI$42</f>
              <numCache>
                <formatCode>0%</formatCode>
                <ptCount val="6"/>
                <pt idx="0">
                  <v>0.1549295774647887</v>
                </pt>
                <pt idx="1">
                  <v>0.391304347826087</v>
                </pt>
                <pt idx="2">
                  <v>0.3023255813953488</v>
                </pt>
                <pt idx="3">
                  <v>0.2702702702702703</v>
                </pt>
              </numCache>
            </numRef>
          </val>
          <smooth val="0"/>
        </ser>
        <ser>
          <idx val="1"/>
          <order val="1"/>
          <tx>
            <strRef>
              <f>'Consumer Experience Team'!$AJ$36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Team'!$AJ$37:$AJ$42</f>
              <numCache>
                <formatCode>0%</formatCode>
                <ptCount val="6"/>
                <pt idx="0">
                  <v>0</v>
                </pt>
                <pt idx="1">
                  <v>0</v>
                </pt>
                <pt idx="2">
                  <v>0</v>
                </pt>
                <pt idx="3">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Team'!$AM$37:$AM$42</f>
              <numCache>
                <formatCode>General</formatCode>
                <ptCount val="6"/>
                <pt idx="0">
                  <v>2.5</v>
                </pt>
                <pt idx="1">
                  <v>0</v>
                </pt>
                <pt idx="2">
                  <v>0.75</v>
                </pt>
                <pt idx="3">
                  <v>0</v>
                </pt>
              </numCache>
            </numRef>
          </val>
          <smooth val="0"/>
        </ser>
        <ser>
          <idx val="1"/>
          <order val="1"/>
          <tx>
            <strRef>
              <f>'Consumer Experience Team'!$AN$36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Team'!$AN$37:$AN$42</f>
              <numCache>
                <formatCode>General</formatCode>
                <ptCount val="6"/>
                <pt idx="0">
                  <v>0.3943661971830986</v>
                </pt>
                <pt idx="1">
                  <v>1.021739130434783</v>
                </pt>
                <pt idx="2">
                  <v>0.3488372093023256</v>
                </pt>
                <pt idx="3">
                  <v>0.8484848484848485</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2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Experience Team'!$AM$58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Team'!$AL$59:$AL$64</f>
              <strCache>
                <ptCount val="6"/>
                <pt idx="0">
                  <v>CET 03/24 - 04/07</v>
                </pt>
                <pt idx="1">
                  <v>CET 04/07 - 04/21</v>
                </pt>
                <pt idx="2">
                  <v>CET 05/05 - 05/19</v>
                </pt>
                <pt idx="3">
                  <v>CET 05/19 - 06/02</v>
                </pt>
                <pt idx="4">
                  <v>Grand Total</v>
                </pt>
                <pt idx="5">
                  <v>0</v>
                </pt>
              </strCache>
            </strRef>
          </cat>
          <val>
            <numRef>
              <f>'Consumer Experience Team'!$AM$59:$AM$64</f>
              <numCache>
                <formatCode>0%</formatCode>
                <ptCount val="6"/>
                <pt idx="0">
                  <v>0.6886792452830188</v>
                </pt>
                <pt idx="1">
                  <v>0</v>
                </pt>
                <pt idx="2">
                  <v>0</v>
                </pt>
                <pt idx="3">
                  <v>0</v>
                </pt>
                <pt idx="4">
                  <v>0.6886792452830188</v>
                </pt>
                <pt idx="5">
                  <v>0</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Experience Team'!$AI$50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Team'!$AI$51:$AI$54</f>
              <numCache>
                <formatCode>General</formatCode>
                <ptCount val="4"/>
                <pt idx="0">
                  <v>2</v>
                </pt>
                <pt idx="1">
                  <v>10</v>
                </pt>
                <pt idx="2">
                  <v>4</v>
                </pt>
                <pt idx="3">
                  <v>5</v>
                </pt>
              </numCache>
            </numRef>
          </val>
        </ser>
        <ser>
          <idx val="1"/>
          <order val="1"/>
          <tx>
            <strRef>
              <f>'Consumer Experience Team'!$AJ$50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Team'!$AJ$51:$AJ$54</f>
              <numCache>
                <formatCode>General</formatCode>
                <ptCount val="4"/>
                <pt idx="0">
                  <v>71</v>
                </pt>
                <pt idx="1">
                  <v>46</v>
                </pt>
                <pt idx="2">
                  <v>43</v>
                </pt>
                <pt idx="3">
                  <v>33</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Experience Team'!$AL$15:$AL$16</f>
              <strCache>
                <ptCount val="2"/>
                <pt idx="0">
                  <v>QA Passed</v>
                </pt>
                <pt idx="1">
                  <v>Rework</v>
                </pt>
              </strCache>
            </strRef>
          </cat>
          <val>
            <numRef>
              <f>'Consumer Experience Team'!$AM$15:$AM$16</f>
              <numCache>
                <formatCode>General</formatCode>
                <ptCount val="2"/>
                <pt idx="0">
                  <v>21</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Team'!$AI$62:$AI$65</f>
              <numCache>
                <formatCode>General</formatCode>
                <ptCount val="4"/>
                <pt idx="0">
                  <v>0</v>
                </pt>
                <pt idx="1">
                  <v>0</v>
                </pt>
                <pt idx="2">
                  <v>0</v>
                </pt>
                <pt idx="3">
                  <v>0</v>
                </pt>
              </numCache>
            </numRef>
          </val>
          <smooth val="0"/>
        </ser>
        <ser>
          <idx val="1"/>
          <order val="1"/>
          <tx>
            <strRef>
              <f>'Consumer Experience Team'!$AJ$61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Team'!$AJ$62:$AJ$65</f>
              <numCache>
                <formatCode>General</formatCode>
                <ptCount val="4"/>
                <pt idx="0">
                  <v>11</v>
                </pt>
                <pt idx="1">
                  <v>18</v>
                </pt>
                <pt idx="2">
                  <v>13</v>
                </pt>
                <pt idx="3">
                  <v>10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Team'!$AI$72:$AI$75</f>
              <numCache>
                <formatCode>General</formatCode>
                <ptCount val="4"/>
                <pt idx="0">
                  <v>5</v>
                </pt>
                <pt idx="1">
                  <v>0</v>
                </pt>
                <pt idx="2">
                  <v>3</v>
                </pt>
                <pt idx="3">
                  <v>0</v>
                </pt>
              </numCache>
            </numRef>
          </val>
          <smooth val="0"/>
        </ser>
        <ser>
          <idx val="1"/>
          <order val="1"/>
          <tx>
            <strRef>
              <f>'Consumer Experience Team'!$AJ$71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Team'!$AJ$72:$AJ$75</f>
              <numCache>
                <formatCode>General</formatCode>
                <ptCount val="4"/>
                <pt idx="0">
                  <v>28</v>
                </pt>
                <pt idx="1">
                  <v>47</v>
                </pt>
                <pt idx="2">
                  <v>15</v>
                </pt>
                <pt idx="3">
                  <v>28</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5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10"/>
        <minorUnit val="5"/>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rPr lang="en-IN" sz="1000" b="1" i="0" strike="noStrike" kern="1200" baseline="0">
                <a:solidFill>
                  <a:sysClr val="windowText" lastClr="000000"/>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t>None</a:t>
          </a:r>
          <a:endParaRPr lang="en-IN"/>
        </a:p>
      </txPr>
    </title>
    <plotArea>
      <layout/>
      <barChart>
        <barDir val="col"/>
        <grouping val="stacked"/>
        <varyColors val="0"/>
        <ser>
          <idx val="0"/>
          <order val="0"/>
          <tx>
            <strRef>
              <f>'Phoenix - Forms'!$AK$11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Forms'!$AK$12:$AK$17</f>
              <numCache>
                <formatCode>General</formatCode>
                <ptCount val="6"/>
                <pt idx="0">
                  <v>21</v>
                </pt>
                <pt idx="1">
                  <v>17</v>
                </pt>
                <pt idx="2">
                  <v>11</v>
                </pt>
                <pt idx="3">
                  <v>14</v>
                </pt>
                <pt idx="4">
                  <v>21</v>
                </pt>
                <pt idx="5">
                  <v>14</v>
                </pt>
              </numCache>
            </numRef>
          </val>
        </ser>
        <ser>
          <idx val="1"/>
          <order val="1"/>
          <tx>
            <strRef>
              <f>'Phoenix - Forms'!$AL$11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Forms'!$AL$12:$AL$17</f>
              <numCache>
                <formatCode>General</formatCode>
                <ptCount val="6"/>
                <pt idx="0">
                  <v>29</v>
                </pt>
                <pt idx="1">
                  <v>50</v>
                </pt>
                <pt idx="2">
                  <v>36</v>
                </pt>
                <pt idx="3">
                  <v>49</v>
                </pt>
                <pt idx="4">
                  <v>58</v>
                </pt>
                <pt idx="5">
                  <v>70</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'Phoenix - Forms'!$AK$52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Forms'!$AJ$53:$AJ$58</f>
              <strCache>
                <ptCount val="6"/>
                <pt idx="0">
                  <v>2025: PHX 12/1 - 12/31</v>
                </pt>
                <pt idx="1">
                  <v>2026: PHX 01/1 - 01/31</v>
                </pt>
                <pt idx="2">
                  <v>2026: PHX 2/1 - 2/28</v>
                </pt>
                <pt idx="3">
                  <v>2026: PHX 3/1 - 3/31</v>
                </pt>
                <pt idx="4">
                  <v>2026: PHX 4/1 - 4/30</v>
                </pt>
                <pt idx="5">
                  <v>2026: PHX 5/1 - 5/31</v>
                </pt>
              </strCache>
            </strRef>
          </cat>
          <val>
            <numRef>
              <f>'Phoenix - Forms'!$AK$53:$AK$58</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Quality (V2)</a:t>
            </a:r>
            <a:endParaRPr lang="en-IN" sz="10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Forms'!$AO$33:$AO$38</f>
              <numCache>
                <formatCode>0%</formatCode>
                <ptCount val="6"/>
                <pt idx="0">
                  <v>0</v>
                </pt>
                <pt idx="1">
                  <v>0</v>
                </pt>
                <pt idx="2">
                  <v>0</v>
                </pt>
                <pt idx="3">
                  <v>0</v>
                </pt>
                <pt idx="4">
                  <v>0</v>
                </pt>
                <pt idx="5">
                  <v>0</v>
                </pt>
              </numCache>
            </numRef>
          </val>
          <smooth val="0"/>
        </ser>
        <ser>
          <idx val="1"/>
          <order val="1"/>
          <tx>
            <strRef>
              <f>'Phoenix - Forms'!$AP$32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Forms'!$AP$33:$AP$38</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712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t>None</a:t>
          </a:r>
          <a:endParaRPr lang="en-IN"/>
        </a:p>
      </txPr>
    </title>
    <plotArea>
      <layout/>
      <lineChart>
        <grouping val="standard"/>
        <varyColors val="0"/>
        <ser>
          <idx val="0"/>
          <order val="0"/>
          <tx>
            <strRef>
              <f>'Phoenix - Forms'!$AN$42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Forms'!$AN$43:$AN$48</f>
              <numCache>
                <formatCode>General</formatCode>
                <ptCount val="6"/>
                <pt idx="0">
                  <v>6</v>
                </pt>
                <pt idx="1">
                  <v>0</v>
                </pt>
                <pt idx="2">
                  <v>2</v>
                </pt>
                <pt idx="3">
                  <v>2</v>
                </pt>
                <pt idx="4">
                  <v>1</v>
                </pt>
                <pt idx="5">
                  <v>3</v>
                </pt>
              </numCache>
            </numRef>
          </val>
          <smooth val="0"/>
        </ser>
        <ser>
          <idx val="1"/>
          <order val="1"/>
          <tx>
            <strRef>
              <f>'Phoenix - Forms'!$AO$42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Forms'!$AO$43:$AO$48</f>
              <numCache>
                <formatCode>General</formatCode>
                <ptCount val="6"/>
                <pt idx="0">
                  <v>4</v>
                </pt>
                <pt idx="1">
                  <v>2</v>
                </pt>
                <pt idx="2">
                  <v>5</v>
                </pt>
                <pt idx="3">
                  <v>10</v>
                </pt>
                <pt idx="4">
                  <v>6</v>
                </pt>
                <pt idx="5">
                  <v>27</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IN"/>
        </a:p>
      </txPr>
    </title>
    <plotArea>
      <layout/>
      <barChart>
        <barDir val="col"/>
        <grouping val="stacked"/>
        <varyColors val="0"/>
        <ser>
          <idx val="0"/>
          <order val="0"/>
          <tx>
            <strRef>
              <f>Flex!$AK$11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Flex!$AK$12:$AK$17</f>
              <numCache>
                <formatCode>General</formatCode>
                <ptCount val="6"/>
                <pt idx="0">
                  <v>13</v>
                </pt>
                <pt idx="1">
                  <v>8</v>
                </pt>
                <pt idx="2">
                  <v>3</v>
                </pt>
                <pt idx="3">
                  <v>8</v>
                </pt>
                <pt idx="4">
                  <v>3</v>
                </pt>
                <pt idx="5">
                  <v>6</v>
                </pt>
              </numCache>
            </numRef>
          </val>
        </ser>
        <ser>
          <idx val="1"/>
          <order val="1"/>
          <tx>
            <strRef>
              <f>Flex!$AL$11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Flex!$AL$12:$AL$17</f>
              <numCache>
                <formatCode>General</formatCode>
                <ptCount val="6"/>
                <pt idx="0">
                  <v>24</v>
                </pt>
                <pt idx="1">
                  <v>21</v>
                </pt>
                <pt idx="2">
                  <v>44</v>
                </pt>
                <pt idx="3">
                  <v>33</v>
                </pt>
                <pt idx="4">
                  <v>34</v>
                </pt>
                <pt idx="5">
                  <v>47</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Flex!$AK$32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Flex!$AK$33:$AK$38</f>
              <numCache>
                <formatCode>0%</formatCode>
                <ptCount val="6"/>
                <pt idx="0">
                  <v>0</v>
                </pt>
                <pt idx="1">
                  <v>0.375</v>
                </pt>
                <pt idx="2">
                  <v>0</v>
                </pt>
                <pt idx="3">
                  <v>0</v>
                </pt>
                <pt idx="4">
                  <v>0</v>
                </pt>
                <pt idx="5">
                  <v>0</v>
                </pt>
              </numCache>
            </numRef>
          </val>
          <smooth val="0"/>
        </ser>
        <ser>
          <idx val="1"/>
          <order val="1"/>
          <tx>
            <strRef>
              <f>Flex!$AL$32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Flex!$AL$33:$AL$38</f>
              <numCache>
                <formatCode>0%</formatCode>
                <ptCount val="6"/>
                <pt idx="0">
                  <v>0.08333333333333333</v>
                </pt>
                <pt idx="1">
                  <v>0.2380952380952381</v>
                </pt>
                <pt idx="2">
                  <v>0.09090909090909091</v>
                </pt>
                <pt idx="3">
                  <v>0.1818181818181818</v>
                </pt>
                <pt idx="4">
                  <v>0.05882352941176471</v>
                </pt>
                <pt idx="5">
                  <v>0.1276595744680851</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dLbl>
              <idx val="0"/>
              <dLblPos val="inEnd"/>
              <showLegendKey val="0"/>
              <showVal val="0"/>
              <showCatName val="0"/>
              <showSerName val="0"/>
              <showPercent val="1"/>
              <showBubbleSize val="0"/>
            </dLbl>
            <dLbl>
              <idx val="1"/>
              <dLblPos val="inEnd"/>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ser>
          <idx val="1"/>
          <order val="1"/>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Flex!$AO$33:$AO$38</f>
              <numCache>
                <formatCode>0%</formatCode>
                <ptCount val="6"/>
                <pt idx="0">
                  <v>0</v>
                </pt>
                <pt idx="1">
                  <v>0</v>
                </pt>
                <pt idx="2">
                  <v>0.6666666666666666</v>
                </pt>
                <pt idx="3">
                  <v>0</v>
                </pt>
                <pt idx="4">
                  <v>0</v>
                </pt>
                <pt idx="5">
                  <v>0.6666666666666666</v>
                </pt>
              </numCache>
            </numRef>
          </val>
          <smooth val="0"/>
        </ser>
        <ser>
          <idx val="1"/>
          <order val="1"/>
          <tx>
            <strRef>
              <f>Flex!$AP$32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Flex!$AP$33:$AP$38</f>
              <numCache>
                <formatCode>0%</formatCode>
                <ptCount val="6"/>
                <pt idx="0">
                  <v>0.6666666666666666</v>
                </pt>
                <pt idx="1">
                  <v>1.238095238095238</v>
                </pt>
                <pt idx="2">
                  <v>0.1136363636363636</v>
                </pt>
                <pt idx="3">
                  <v>0.3333333333333333</v>
                </pt>
                <pt idx="4">
                  <v>0.1470588235294118</v>
                </pt>
                <pt idx="5">
                  <v>0.1276595744680851</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Flex!$AK$52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Flex!$AJ$53:$AJ$58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Flex!$AK$53:$AK$58</f>
              <numCache>
                <formatCode>0%</formatCode>
                <ptCount val="6"/>
                <pt idx="0">
                  <v>0.6981132075471698</v>
                </pt>
                <pt idx="1">
                  <v>0.5272727272727272</v>
                </pt>
                <pt idx="2">
                  <v>0.8703703703703703</v>
                </pt>
                <pt idx="3">
                  <v>0.7592592592592593</v>
                </pt>
                <pt idx="4">
                  <v>0.8809523809523809</v>
                </pt>
                <pt idx="5">
                  <v>0.8412698412698413</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Flex!$AO$52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Flex!$AO$53:$AO$58</f>
              <numCache>
                <formatCode>General</formatCode>
                <ptCount val="6"/>
                <pt idx="0">
                  <v>0</v>
                </pt>
                <pt idx="1">
                  <v>3</v>
                </pt>
                <pt idx="2">
                  <v>0</v>
                </pt>
                <pt idx="3">
                  <v>0</v>
                </pt>
                <pt idx="4">
                  <v>0</v>
                </pt>
                <pt idx="5">
                  <v>0</v>
                </pt>
              </numCache>
            </numRef>
          </val>
          <smooth val="0"/>
        </ser>
        <ser>
          <idx val="1"/>
          <order val="1"/>
          <tx>
            <strRef>
              <f>Flex!$AP$52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Flex!$AP$53:$AP$58</f>
              <numCache>
                <formatCode>General</formatCode>
                <ptCount val="6"/>
                <pt idx="0">
                  <v>2</v>
                </pt>
                <pt idx="1">
                  <v>5</v>
                </pt>
                <pt idx="2">
                  <v>4</v>
                </pt>
                <pt idx="3">
                  <v>6</v>
                </pt>
                <pt idx="4">
                  <v>2</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5"/>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Flex!$AO$60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Flex!$AO$61:$AO$66</f>
              <numCache>
                <formatCode>General</formatCode>
                <ptCount val="6"/>
                <pt idx="0">
                  <v>0</v>
                </pt>
                <pt idx="1">
                  <v>0</v>
                </pt>
                <pt idx="2">
                  <v>2</v>
                </pt>
                <pt idx="3">
                  <v>0</v>
                </pt>
                <pt idx="4">
                  <v>0</v>
                </pt>
                <pt idx="5">
                  <v>4</v>
                </pt>
              </numCache>
            </numRef>
          </val>
          <smooth val="0"/>
        </ser>
        <ser>
          <idx val="1"/>
          <order val="1"/>
          <tx>
            <strRef>
              <f>Flex!$AP$60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Flex!$AP$61:$AP$66</f>
              <numCache>
                <formatCode>General</formatCode>
                <ptCount val="6"/>
                <pt idx="0">
                  <v>16</v>
                </pt>
                <pt idx="1">
                  <v>26</v>
                </pt>
                <pt idx="2">
                  <v>5</v>
                </pt>
                <pt idx="3">
                  <v>11</v>
                </pt>
                <pt idx="4">
                  <v>5</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'Pre-Prime'!$AL$13:$AL$18</f>
              <numCache>
                <formatCode>General</formatCode>
                <ptCount val="6"/>
                <pt idx="0">
                  <v>8</v>
                </pt>
                <pt idx="1">
                  <v>7</v>
                </pt>
                <pt idx="2">
                  <v>6</v>
                </pt>
                <pt idx="3">
                  <v>15</v>
                </pt>
                <pt idx="4">
                  <v>10</v>
                </pt>
                <pt idx="5">
                  <v>11</v>
                </pt>
              </numCache>
            </numRef>
          </val>
        </ser>
        <ser>
          <idx val="1"/>
          <order val="1"/>
          <tx>
            <strRef>
              <f>'Pre-Prime'!$AM$12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'Pre-Prime'!$AM$13:$AM$18</f>
              <numCache>
                <formatCode>General</formatCode>
                <ptCount val="6"/>
                <pt idx="0">
                  <v>24</v>
                </pt>
                <pt idx="1">
                  <v>22</v>
                </pt>
                <pt idx="2">
                  <v>37</v>
                </pt>
                <pt idx="3">
                  <v>35</v>
                </pt>
                <pt idx="4">
                  <v>33</v>
                </pt>
                <pt idx="5">
                  <v>28</v>
                </pt>
              </numCache>
            </numRef>
          </val>
        </ser>
        <dLbls>
          <showLegendKey val="0"/>
          <showVal val="0"/>
          <showCatName val="0"/>
          <showSerName val="0"/>
          <showPercent val="0"/>
          <showBubbleSize val="0"/>
        </dLbls>
        <gapWidth val="150"/>
        <gapDepth val="150"/>
        <shape val="box"/>
        <axId val="359458895"/>
        <axId val="415301407"/>
        <axId val="1000"/>
      </bar3DChart>
      <catAx>
        <axId val="3594588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415301407"/>
        <crosses val="autoZero"/>
        <auto val="1"/>
        <lblAlgn val="ctr"/>
        <lblOffset val="100"/>
        <noMultiLvlLbl val="0"/>
      </catAx>
      <valAx>
        <axId val="415301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59458895"/>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'Pre-Prime'!$AO$12:$AO$13</f>
              <strCache>
                <ptCount val="2"/>
                <pt idx="0">
                  <v>QA Passed</v>
                </pt>
                <pt idx="1">
                  <v>Rework</v>
                </pt>
              </strCache>
            </strRef>
          </cat>
          <val>
            <numRef>
              <f>'Pre-Prime'!$AP$12:$AP$13</f>
              <numCache>
                <formatCode>General</formatCode>
                <ptCount val="2"/>
                <pt idx="0">
                  <v>52</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a:t>
            </a:r>
            <a:endParaRPr lang="en-IN" sz="14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'Pre-Prime'!$AL$32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'Pre-Prime'!$AL$33:$AL$38</f>
              <numCache>
                <formatCode>0%</formatCode>
                <ptCount val="6"/>
                <pt idx="0">
                  <v>0</v>
                </pt>
                <pt idx="1">
                  <v>0</v>
                </pt>
                <pt idx="2">
                  <v>0</v>
                </pt>
                <pt idx="3">
                  <v>0</v>
                </pt>
                <pt idx="4">
                  <v>0.5</v>
                </pt>
                <pt idx="5">
                  <v>0</v>
                </pt>
              </numCache>
            </numRef>
          </val>
          <smooth val="0"/>
        </ser>
        <ser>
          <idx val="1"/>
          <order val="1"/>
          <tx>
            <strRef>
              <f>'Pre-Prime'!$AM$32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'Pre-Prime'!$AM$33:$AM$38</f>
              <numCache>
                <formatCode>0%</formatCode>
                <ptCount val="6"/>
                <pt idx="0">
                  <v>0</v>
                </pt>
                <pt idx="1">
                  <v>0</v>
                </pt>
                <pt idx="2">
                  <v>0.08108108108108109</v>
                </pt>
                <pt idx="3">
                  <v>0.1428571428571428</v>
                </pt>
                <pt idx="4">
                  <v>0.1212121212121212</v>
                </pt>
                <pt idx="5">
                  <v>0.1428571428571428</v>
                </pt>
              </numCache>
            </numRef>
          </val>
          <smooth val="0"/>
        </ser>
        <dLbls>
          <showLegendKey val="0"/>
          <showVal val="0"/>
          <showCatName val="0"/>
          <showSerName val="0"/>
          <showPercent val="0"/>
          <showBubbleSize val="0"/>
        </dLbls>
        <marker val="1"/>
        <smooth val="0"/>
        <axId val="1313497615"/>
        <axId val="1102083599"/>
      </lineChart>
      <catAx>
        <axId val="13134976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02083599"/>
        <crosses val="autoZero"/>
        <auto val="1"/>
        <lblAlgn val="ctr"/>
        <lblOffset val="100"/>
        <noMultiLvlLbl val="0"/>
      </catAx>
      <valAx>
        <axId val="1102083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976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 (V2 vs LT)</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'Pre-Prime'!$AP$32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'Pre-Prime'!$AP$33:$AP$38</f>
              <numCache>
                <formatCode>0%</formatCode>
                <ptCount val="6"/>
                <pt idx="0">
                  <v>0.25</v>
                </pt>
                <pt idx="1">
                  <v>0</v>
                </pt>
                <pt idx="2">
                  <v>0.8333333333333334</v>
                </pt>
                <pt idx="3">
                  <v>0.6666666666666666</v>
                </pt>
                <pt idx="4">
                  <v>0</v>
                </pt>
                <pt idx="5">
                  <v>0.7272727272727273</v>
                </pt>
              </numCache>
            </numRef>
          </val>
          <smooth val="0"/>
        </ser>
        <ser>
          <idx val="1"/>
          <order val="1"/>
          <tx>
            <strRef>
              <f>'Pre-Prime'!$AQ$32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'Pre-Prime'!$AQ$33:$AQ$38</f>
              <numCache>
                <formatCode>0%</formatCode>
                <ptCount val="6"/>
                <pt idx="0">
                  <v>0.25</v>
                </pt>
                <pt idx="1">
                  <v>0.3636363636363636</v>
                </pt>
                <pt idx="2">
                  <v>0.5405405405405406</v>
                </pt>
                <pt idx="3">
                  <v>0.6</v>
                </pt>
                <pt idx="4">
                  <v>0.6060606060606061</v>
                </pt>
                <pt idx="5">
                  <v>0.5357142857142857</v>
                </pt>
              </numCache>
            </numRef>
          </val>
          <smooth val="0"/>
        </ser>
        <dLbls>
          <showLegendKey val="0"/>
          <showVal val="0"/>
          <showCatName val="0"/>
          <showSerName val="0"/>
          <showPercent val="0"/>
          <showBubbleSize val="0"/>
        </dLbls>
        <marker val="1"/>
        <smooth val="0"/>
        <axId val="1313481215"/>
        <axId val="1515061983"/>
      </lineChart>
      <catAx>
        <axId val="13134812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1983"/>
        <crosses val="autoZero"/>
        <auto val="1"/>
        <lblAlgn val="ctr"/>
        <lblOffset val="100"/>
        <noMultiLvlLbl val="0"/>
      </catAx>
      <valAx>
        <axId val="15150619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812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b="1"/>
              <a:t>Planned Vs Completed ratio</a:t>
            </a:r>
          </a:p>
        </rich>
      </tx>
      <layout>
        <manualLayout>
          <xMode val="edge"/>
          <yMode val="edge"/>
          <wMode val="factor"/>
          <hMode val="factor"/>
          <x val="0.12921129666176"/>
          <y val="0.883515215826308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'Pre-Prime'!$AL$52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'Pre-Prime'!$AK$53:$AK$58</f>
              <strCache>
                <ptCount val="6"/>
                <pt idx="0">
                  <v>2022: OCR 7.5 - 7.19</v>
                </pt>
                <pt idx="1">
                  <v>2022: OCR 7.19 - 8.2</v>
                </pt>
                <pt idx="2">
                  <v>2022: OCR  8.2 - 8.16</v>
                </pt>
                <pt idx="3">
                  <v>2022: CS 8.16 - 8.30</v>
                </pt>
                <pt idx="4">
                  <v>2022: CS 8.30 - 9.13</v>
                </pt>
                <pt idx="5">
                  <v>2022: CS  9.13 - 9.27</v>
                </pt>
              </strCache>
            </strRef>
          </cat>
          <val>
            <numRef>
              <f>'Pre-Prime'!$AL$53:$AL$58</f>
              <numCache>
                <formatCode>0%</formatCode>
                <ptCount val="6"/>
                <pt idx="0">
                  <v>0.75</v>
                </pt>
                <pt idx="1">
                  <v>0.7241379310344828</v>
                </pt>
                <pt idx="2">
                  <v>0.4186046511627907</v>
                </pt>
                <pt idx="3">
                  <v>0.38</v>
                </pt>
                <pt idx="4">
                  <v>0.5348837209302325</v>
                </pt>
                <pt idx="5">
                  <v>0.4102564102564102</v>
                </pt>
              </numCache>
            </numRef>
          </val>
        </ser>
        <dLbls>
          <showLegendKey val="0"/>
          <showVal val="0"/>
          <showCatName val="0"/>
          <showSerName val="0"/>
          <showPercent val="0"/>
          <showBubbleSize val="0"/>
        </dLbls>
        <gapWidth val="150"/>
        <gapDepth val="150"/>
        <shape val="box"/>
        <axId val="925595136"/>
        <axId val="752852816"/>
        <axId val="1000"/>
      </bar3DChart>
      <catAx>
        <axId val="925595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752852816"/>
        <crosses val="autoZero"/>
        <auto val="1"/>
        <lblAlgn val="ctr"/>
        <lblOffset val="100"/>
        <noMultiLvlLbl val="0"/>
      </catAx>
      <valAx>
        <axId val="7528528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925595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baseline="0">
                <effectLst/>
              </a:rPr>
              <a:t>Throughput Distribution</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'Partner Central'!$AK$11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Central'!$AK$12:$AK$17</f>
              <numCache>
                <formatCode>General</formatCode>
                <ptCount val="6"/>
                <pt idx="0">
                  <v>1</v>
                </pt>
                <pt idx="1">
                  <v>4</v>
                </pt>
                <pt idx="2">
                  <v>5</v>
                </pt>
                <pt idx="3">
                  <v>6</v>
                </pt>
                <pt idx="4">
                  <v>7</v>
                </pt>
                <pt idx="5">
                  <v>5</v>
                </pt>
              </numCache>
            </numRef>
          </val>
        </ser>
        <ser>
          <idx val="1"/>
          <order val="1"/>
          <tx>
            <strRef>
              <f>'Partner Central'!$AL$11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Central'!$AL$12:$AL$17</f>
              <numCache>
                <formatCode>General</formatCode>
                <ptCount val="6"/>
                <pt idx="0">
                  <v>19</v>
                </pt>
                <pt idx="1">
                  <v>19</v>
                </pt>
                <pt idx="2">
                  <v>14</v>
                </pt>
                <pt idx="3">
                  <v>23</v>
                </pt>
                <pt idx="4">
                  <v>24</v>
                </pt>
                <pt idx="5">
                  <v>16</v>
                </pt>
              </numCache>
            </numRef>
          </val>
        </ser>
        <dLbls>
          <showLegendKey val="0"/>
          <showVal val="0"/>
          <showCatName val="0"/>
          <showSerName val="0"/>
          <showPercent val="0"/>
          <showBubbleSize val="0"/>
        </dLbls>
        <gapWidth val="150"/>
        <gapDepth val="150"/>
        <shape val="box"/>
        <axId val="1934592767"/>
        <axId val="103664495"/>
        <axId val="1000"/>
      </bar3D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baseline="0">
                <effectLst/>
              </a:rPr>
              <a:t>Quality (V2)</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'Partner Central'!$AN$11:$AN$12</f>
              <strCache>
                <ptCount val="2"/>
                <pt idx="0">
                  <v>QA Passed</v>
                </pt>
                <pt idx="1">
                  <v>Rework</v>
                </pt>
              </strCache>
            </strRef>
          </cat>
          <val>
            <numRef>
              <f>'Partner Central'!$AO$11:$AO$12</f>
              <numCache>
                <formatCode>General</formatCode>
                <ptCount val="2"/>
                <pt idx="0">
                  <v>23</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Rework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Central'!$AT$12:$AT$17</f>
              <numCache>
                <formatCode>General</formatCode>
                <ptCount val="6"/>
                <pt idx="0">
                  <v>0</v>
                </pt>
                <pt idx="1">
                  <v>0</v>
                </pt>
                <pt idx="2">
                  <formatCode>0%</formatCode>
                  <v>0</v>
                </pt>
                <pt idx="3">
                  <formatCode>0%</formatCode>
                  <v>0.3333333333333333</v>
                </pt>
                <pt idx="4">
                  <formatCode>0%</formatCode>
                  <v>0</v>
                </pt>
                <pt idx="5">
                  <formatCode>0%</formatCode>
                  <v>0.6</v>
                </pt>
              </numCache>
            </numRef>
          </val>
          <smooth val="0"/>
        </ser>
        <ser>
          <idx val="1"/>
          <order val="1"/>
          <tx>
            <strRef>
              <f>'Partner Central'!$AU$11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Central'!$AU$12:$AU$17</f>
              <numCache>
                <formatCode>General</formatCode>
                <ptCount val="6"/>
                <pt idx="0">
                  <v>0.2105263157894737</v>
                </pt>
                <pt idx="1">
                  <v>0.1052631578947368</v>
                </pt>
                <pt idx="2">
                  <formatCode>0%</formatCode>
                  <v>0.1428571428571428</v>
                </pt>
                <pt idx="3">
                  <formatCode>0%</formatCode>
                  <v>0.1304347826086956</v>
                </pt>
                <pt idx="4">
                  <formatCode>0%</formatCode>
                  <v>0.2083333333333333</v>
                </pt>
                <pt idx="5">
                  <formatCode>0%</formatCode>
                  <v>0.4375</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Central'!$AT$32:$AT$37</f>
              <numCache>
                <formatCode>0%</formatCode>
                <ptCount val="6"/>
                <pt idx="0">
                  <v>0</v>
                </pt>
                <pt idx="1">
                  <v>0</v>
                </pt>
                <pt idx="2">
                  <v>0</v>
                </pt>
                <pt idx="3">
                  <v>0</v>
                </pt>
                <pt idx="4">
                  <v>0</v>
                </pt>
                <pt idx="5">
                  <v>0</v>
                </pt>
              </numCache>
            </numRef>
          </val>
          <smooth val="0"/>
        </ser>
        <ser>
          <idx val="1"/>
          <order val="1"/>
          <tx>
            <strRef>
              <f>'Partner Central'!$AU$31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Central'!$AU$32:$AU$37</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244975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1.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'Partner Central'!$AK$32</f>
              <strCache>
                <ptCount val="1"/>
                <pt idx="0">
                  <v>Planned Vs Completed ratio</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Central'!$AJ$33:$AJ$38</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Central'!$AK$33:$AK$38</f>
              <numCache>
                <formatCode>0%</formatCode>
                <ptCount val="6"/>
                <pt idx="0">
                  <v>0</v>
                </pt>
                <pt idx="1">
                  <v>0</v>
                </pt>
                <pt idx="2">
                  <v>0</v>
                </pt>
                <pt idx="3">
                  <v>0</v>
                </pt>
                <pt idx="4">
                  <v>0</v>
                </pt>
                <pt idx="5">
                  <v>0</v>
                </pt>
              </numCache>
            </numRef>
          </val>
        </ser>
        <dLbls>
          <showLegendKey val="0"/>
          <showVal val="0"/>
          <showCatName val="0"/>
          <showSerName val="0"/>
          <showPercent val="0"/>
          <showBubbleSize val="0"/>
        </dLbls>
        <gapWidth val="150"/>
        <overlap val="100"/>
        <axId val="2065904127"/>
        <axId val="2065885407"/>
      </barChart>
      <catAx>
        <axId val="206590412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885407"/>
        <crosses val="autoZero"/>
        <auto val="1"/>
        <lblAlgn val="ctr"/>
        <lblOffset val="100"/>
        <noMultiLvlLbl val="0"/>
      </catAx>
      <valAx>
        <axId val="2065885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904127"/>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Throughput Distribution</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percentStacked"/>
        <varyColors val="0"/>
        <ser>
          <idx val="0"/>
          <order val="0"/>
          <tx>
            <strRef>
              <f>'Web Analytics'!$AL$19</f>
              <strCache>
                <ptCount val="1"/>
                <pt idx="0">
                  <v>V2</v>
                </pt>
              </strCache>
            </strRef>
          </tx>
          <spPr>
            <a:solidFill xmlns:a="http://schemas.openxmlformats.org/drawingml/2006/main">
              <a:srgbClr val="54446A"/>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AEAAAA"/>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Analytics'!$AL$20:$AL$23</f>
              <numCache>
                <formatCode>General</formatCode>
                <ptCount val="4"/>
                <pt idx="0">
                  <v>0</v>
                </pt>
                <pt idx="1">
                  <v>0</v>
                </pt>
                <pt idx="2">
                  <v>0</v>
                </pt>
                <pt idx="3">
                  <v>0</v>
                </pt>
              </numCache>
            </numRef>
          </val>
        </ser>
        <ser>
          <idx val="1"/>
          <order val="1"/>
          <tx>
            <strRef>
              <f>'Web Analytics'!$AM$19</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Analytics'!$AM$20:$AM$23</f>
              <numCache>
                <formatCode>General</formatCode>
                <ptCount val="4"/>
                <pt idx="0">
                  <v>0</v>
                </pt>
                <pt idx="1">
                  <v>0</v>
                </pt>
                <pt idx="2">
                  <v>0</v>
                </pt>
                <pt idx="3">
                  <v>0</v>
                </pt>
              </numCache>
            </numRef>
          </val>
        </ser>
        <dLbls>
          <showLegendKey val="0"/>
          <showVal val="0"/>
          <showCatName val="0"/>
          <showSerName val="0"/>
          <showPercent val="0"/>
          <showBubbleSize val="0"/>
        </dLbls>
        <gapWidth val="150"/>
        <overlap val="100"/>
        <axId val="361588448"/>
        <axId val="171382512"/>
      </barChart>
      <catAx>
        <axId val="36158844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71382512"/>
        <crosses val="autoZero"/>
        <auto val="1"/>
        <lblAlgn val="ctr"/>
        <lblOffset val="100"/>
        <noMultiLvlLbl val="0"/>
      </catAx>
      <valAx>
        <axId val="1713825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6158844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'Web Analytics'!$AO$19:$AO$20</f>
              <strCache>
                <ptCount val="2"/>
                <pt idx="0">
                  <v>QA Passed</v>
                </pt>
                <pt idx="1">
                  <v>Rework</v>
                </pt>
              </strCache>
            </strRef>
          </cat>
          <val>
            <numRef>
              <f>'Web Analytics'!$AP$19:$AP$20</f>
              <numCache>
                <formatCode>General</formatCode>
                <ptCount val="2"/>
                <pt idx="0">
                  <v>100</v>
                </pt>
                <pt idx="1">
                  <v>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Analytics'!$AL$54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Analytics'!$AL$55:$AL$61</f>
              <numCache>
                <formatCode>0%</formatCode>
                <ptCount val="7"/>
                <pt idx="0">
                  <v>0</v>
                </pt>
                <pt idx="1">
                  <v>0</v>
                </pt>
                <pt idx="2">
                  <v>0</v>
                </pt>
                <pt idx="3">
                  <v>0</v>
                </pt>
                <pt idx="4">
                  <v>0</v>
                </pt>
                <pt idx="5">
                  <v>0</v>
                </pt>
                <pt idx="6">
                  <v>0</v>
                </pt>
              </numCache>
            </numRef>
          </val>
          <smooth val="0"/>
        </ser>
        <ser>
          <idx val="1"/>
          <order val="1"/>
          <tx>
            <strRef>
              <f>'Web Analytics'!$AM$54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Analytics'!$AM$55:$AM$61</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57903375"/>
        <axId val="1162273279"/>
      </lineChart>
      <catAx>
        <axId val="155790337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3279"/>
        <crosses val="autoZero"/>
        <auto val="1"/>
        <lblAlgn val="ctr"/>
        <lblOffset val="100"/>
        <noMultiLvlLbl val="0"/>
      </catAx>
      <valAx>
        <axId val="116227327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5790337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Analytics'!$AP$54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Analytics'!$AP$55:$AP$62</f>
              <numCache>
                <formatCode>0%</formatCode>
                <ptCount val="8"/>
                <pt idx="0">
                  <v>0</v>
                </pt>
                <pt idx="1">
                  <v>0</v>
                </pt>
                <pt idx="2">
                  <v>0</v>
                </pt>
                <pt idx="3">
                  <v>0</v>
                </pt>
                <pt idx="4">
                  <v>0</v>
                </pt>
                <pt idx="5">
                  <v>0</v>
                </pt>
                <pt idx="6">
                  <v>0</v>
                </pt>
                <pt idx="7">
                  <v>0</v>
                </pt>
              </numCache>
            </numRef>
          </val>
          <smooth val="0"/>
        </ser>
        <ser>
          <idx val="1"/>
          <order val="1"/>
          <tx>
            <strRef>
              <f>'Web Analytics'!$AQ$54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Analytics'!$AQ$55:$AQ$62</f>
              <numCache>
                <formatCode>0%</formatCode>
                <ptCount val="8"/>
                <pt idx="0">
                  <v>0</v>
                </pt>
                <pt idx="1">
                  <v>0</v>
                </pt>
                <pt idx="2">
                  <v>0</v>
                </pt>
                <pt idx="3">
                  <v>0</v>
                </pt>
                <pt idx="4">
                  <v>0</v>
                </pt>
                <pt idx="5">
                  <v>0</v>
                </pt>
                <pt idx="6">
                  <v>0</v>
                </pt>
                <pt idx="7">
                  <v>0</v>
                </pt>
              </numCache>
            </numRef>
          </val>
          <smooth val="0"/>
        </ser>
        <dLbls>
          <showLegendKey val="0"/>
          <showVal val="0"/>
          <showCatName val="0"/>
          <showSerName val="0"/>
          <showPercent val="0"/>
          <showBubbleSize val="0"/>
        </dLbls>
        <marker val="1"/>
        <smooth val="0"/>
        <axId val="1279829487"/>
        <axId val="1162267455"/>
      </lineChart>
      <catAx>
        <axId val="12798294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7455"/>
        <crosses val="autoZero"/>
        <auto val="1"/>
        <lblAlgn val="ctr"/>
        <lblOffset val="100"/>
        <noMultiLvlLbl val="0"/>
      </catAx>
      <valAx>
        <axId val="11622674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2798294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Purchase'!$AL$12:$AL$18</f>
              <numCache>
                <formatCode>General</formatCode>
                <ptCount val="7"/>
                <pt idx="0">
                  <v>10</v>
                </pt>
                <pt idx="1">
                  <v>13</v>
                </pt>
                <pt idx="2">
                  <v>13</v>
                </pt>
                <pt idx="3">
                  <v>17</v>
                </pt>
                <pt idx="4">
                  <v>6</v>
                </pt>
                <pt idx="5">
                  <v>17</v>
                </pt>
                <pt idx="6">
                  <v>12</v>
                </pt>
              </numCache>
            </numRef>
          </val>
        </ser>
        <ser>
          <idx val="1"/>
          <order val="1"/>
          <tx>
            <strRef>
              <f>'Mortgage Purchase'!$AM$11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Purchase'!$AM$12:$AM$18</f>
              <numCache>
                <formatCode>General</formatCode>
                <ptCount val="7"/>
                <pt idx="0">
                  <v>39</v>
                </pt>
                <pt idx="1">
                  <v>39</v>
                </pt>
                <pt idx="2">
                  <v>32</v>
                </pt>
                <pt idx="3">
                  <v>23</v>
                </pt>
                <pt idx="4">
                  <v>30</v>
                </pt>
                <pt idx="5">
                  <v>21</v>
                </pt>
                <pt idx="6">
                  <v>17</v>
                </pt>
              </numCache>
            </numRef>
          </val>
        </ser>
        <dLbls>
          <showLegendKey val="0"/>
          <showVal val="0"/>
          <showCatName val="0"/>
          <showSerName val="0"/>
          <showPercent val="0"/>
          <showBubbleSize val="0"/>
        </dLbls>
        <gapWidth val="150"/>
        <gapDepth val="150"/>
        <shape val="box"/>
        <axId val="238185439"/>
        <axId val="240306351"/>
        <axId val="1000"/>
      </bar3DChart>
      <catAx>
        <axId val="2381854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40306351"/>
        <crosses val="autoZero"/>
        <auto val="1"/>
        <lblAlgn val="ctr"/>
        <lblOffset val="100"/>
        <noMultiLvlLbl val="0"/>
      </catAx>
      <valAx>
        <axId val="240306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8185439"/>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'Mortgage Purchase'!$AO$11:$AO$12</f>
              <strCache>
                <ptCount val="2"/>
                <pt idx="0">
                  <v>QA Passed</v>
                </pt>
                <pt idx="1">
                  <v>Rework</v>
                </pt>
              </strCache>
            </strRef>
          </cat>
          <val>
            <numRef>
              <f>'Mortgage Purchase'!$AP$11:$AP$12</f>
              <numCache>
                <formatCode>General</formatCode>
                <ptCount val="2"/>
                <pt idx="0">
                  <v>68</v>
                </pt>
                <pt idx="1">
                  <v>20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Purchase'!$AL$31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Purchase'!$AL$32:$AL$38</f>
              <numCache>
                <formatCode>0%</formatCode>
                <ptCount val="7"/>
                <pt idx="0">
                  <v>0</v>
                </pt>
                <pt idx="1">
                  <v>0.2307692307692308</v>
                </pt>
                <pt idx="2">
                  <v>0.3846153846153846</v>
                </pt>
                <pt idx="3">
                  <v>0.4117647058823529</v>
                </pt>
                <pt idx="4">
                  <v>0</v>
                </pt>
                <pt idx="5">
                  <v>0.1764705882352941</v>
                </pt>
                <pt idx="6">
                  <v>0.1666666666666667</v>
                </pt>
              </numCache>
            </numRef>
          </val>
          <smooth val="0"/>
        </ser>
        <ser>
          <idx val="1"/>
          <order val="1"/>
          <tx>
            <strRef>
              <f>'Mortgage Purchase'!$AM$31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Purchase'!$AM$32:$AM$38</f>
              <numCache>
                <formatCode>0%</formatCode>
                <ptCount val="7"/>
                <pt idx="0">
                  <v>0.3076923076923077</v>
                </pt>
                <pt idx="1">
                  <v>0.5384615384615384</v>
                </pt>
                <pt idx="2">
                  <v>0.21875</v>
                </pt>
                <pt idx="3">
                  <v>0.3478260869565217</v>
                </pt>
                <pt idx="4">
                  <v>0.2</v>
                </pt>
                <pt idx="5">
                  <v>0.1904761904761905</v>
                </pt>
                <pt idx="6">
                  <v>0.1176470588235294</v>
                </pt>
              </numCache>
            </numRef>
          </val>
          <smooth val="0"/>
        </ser>
        <dLbls>
          <showLegendKey val="0"/>
          <showVal val="0"/>
          <showCatName val="0"/>
          <showSerName val="0"/>
          <showPercent val="0"/>
          <showBubbleSize val="0"/>
        </dLbls>
        <marker val="1"/>
        <smooth val="0"/>
        <axId val="1543268319"/>
        <axId val="1162269119"/>
      </lineChart>
      <catAx>
        <axId val="15432683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9119"/>
        <crosses val="autoZero"/>
        <auto val="1"/>
        <lblAlgn val="ctr"/>
        <lblOffset val="100"/>
        <noMultiLvlLbl val="0"/>
      </catAx>
      <valAx>
        <axId val="11622691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683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Purchase'!$AP$31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Purchase'!$AP$32:$AP$38</f>
              <numCache>
                <formatCode>0%</formatCode>
                <ptCount val="7"/>
                <pt idx="0">
                  <v>0.5</v>
                </pt>
                <pt idx="1">
                  <v>0</v>
                </pt>
                <pt idx="2">
                  <v>0.3846153846153846</v>
                </pt>
                <pt idx="3">
                  <v>0.1764705882352941</v>
                </pt>
                <pt idx="4">
                  <v>0</v>
                </pt>
                <pt idx="5">
                  <v>0</v>
                </pt>
                <pt idx="6">
                  <v>0.25</v>
                </pt>
              </numCache>
            </numRef>
          </val>
          <smooth val="0"/>
        </ser>
        <ser>
          <idx val="1"/>
          <order val="1"/>
          <tx>
            <strRef>
              <f>'Mortgage Purchase'!$AQ$31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Purchase'!$AQ$32:$AQ$38</f>
              <numCache>
                <formatCode>0%</formatCode>
                <ptCount val="7"/>
                <pt idx="0">
                  <v>0.3333333333333333</v>
                </pt>
                <pt idx="1">
                  <v>0.1538461538461539</v>
                </pt>
                <pt idx="2">
                  <v>0.125</v>
                </pt>
                <pt idx="3">
                  <v>0.4347826086956522</v>
                </pt>
                <pt idx="4">
                  <v>0.1666666666666667</v>
                </pt>
                <pt idx="5">
                  <v>0</v>
                </pt>
                <pt idx="6">
                  <v>0</v>
                </pt>
              </numCache>
            </numRef>
          </val>
          <smooth val="0"/>
        </ser>
        <dLbls>
          <showLegendKey val="0"/>
          <showVal val="0"/>
          <showCatName val="0"/>
          <showSerName val="0"/>
          <showPercent val="0"/>
          <showBubbleSize val="0"/>
        </dLbls>
        <marker val="1"/>
        <smooth val="0"/>
        <axId val="1515652287"/>
        <axId val="1162263711"/>
      </lineChart>
      <catAx>
        <axId val="15156522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3711"/>
        <crosses val="autoZero"/>
        <auto val="1"/>
        <lblAlgn val="ctr"/>
        <lblOffset val="100"/>
        <noMultiLvlLbl val="0"/>
      </catAx>
      <valAx>
        <axId val="11622637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6522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Purchase'!$AL$51</f>
              <strCache>
                <ptCount val="1"/>
                <pt idx="0">
                  <v>Planned Vs Completed Ratio</v>
                </pt>
              </strCache>
            </strRef>
          </tx>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Purchase'!$AK$52:$AK$58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Purchase'!$AL$52:$AL$58</f>
              <numCache>
                <formatCode>0%</formatCode>
                <ptCount val="7"/>
                <pt idx="0">
                  <v>0.6326530612244898</v>
                </pt>
                <pt idx="1">
                  <v>0.8846153846153846</v>
                </pt>
                <pt idx="2">
                  <v>0.8</v>
                </pt>
                <pt idx="3">
                  <v>0.675</v>
                </pt>
                <pt idx="4">
                  <v>0.8611111111111112</v>
                </pt>
                <pt idx="5">
                  <v>1</v>
                </pt>
                <pt idx="6">
                  <v>0.896551724137931</v>
                </pt>
              </numCache>
            </numRef>
          </val>
        </ser>
        <dLbls>
          <showLegendKey val="0"/>
          <showVal val="1"/>
          <showCatName val="0"/>
          <showSerName val="0"/>
          <showPercent val="0"/>
          <showBubbleSize val="0"/>
        </dLbls>
        <gapWidth val="150"/>
        <gapDepth val="150"/>
        <shape val="box"/>
        <axId val="468766992"/>
        <axId val="468767824"/>
        <axId val="1000"/>
      </bar3DChart>
      <catAx>
        <axId val="46876699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7824"/>
        <crosses val="autoZero"/>
        <auto val="1"/>
        <lblAlgn val="ctr"/>
        <lblOffset val="100"/>
        <noMultiLvlLbl val="0"/>
      </catAx>
      <valAx>
        <axId val="46876782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6992"/>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SnapCap!$AK$12</f>
              <strCache>
                <ptCount val="1"/>
                <pt idx="0">
                  <v>V2 (1 dev)</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elete val="1"/>
          </dLbls>
          <cat>
            <numRef>
              <f>SnapCap!$AJ$13:$AJ$18</f>
              <numCache>
                <formatCode>General</formatCode>
                <ptCount val="6"/>
                <pt idx="0">
                  <v>1</v>
                </pt>
                <pt idx="1">
                  <v>2</v>
                </pt>
                <pt idx="2">
                  <v>3</v>
                </pt>
                <pt idx="3">
                  <v>5</v>
                </pt>
                <pt idx="4">
                  <v>0</v>
                </pt>
                <pt idx="5">
                  <v>0</v>
                </pt>
              </numCache>
            </numRef>
          </cat>
          <val>
            <numRef>
              <f>SnapCap!$AK$13:$AK$18</f>
              <numCache>
                <formatCode>General</formatCode>
                <ptCount val="6"/>
                <pt idx="0">
                  <v>0</v>
                </pt>
                <pt idx="1">
                  <v>0</v>
                </pt>
                <pt idx="2">
                  <v>0</v>
                </pt>
                <pt idx="3">
                  <v>0</v>
                </pt>
                <pt idx="4">
                  <v>0</v>
                </pt>
                <pt idx="5">
                  <v>0</v>
                </pt>
              </numCache>
            </numRef>
          </val>
        </ser>
        <ser>
          <idx val="1"/>
          <order val="1"/>
          <tx>
            <strRef>
              <f>SnapCap!$AL$12</f>
              <strCache>
                <ptCount val="1"/>
                <pt idx="0">
                  <v>LT (2 dev)</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SnapCap!$AJ$13:$AJ$18</f>
              <numCache>
                <formatCode>General</formatCode>
                <ptCount val="6"/>
                <pt idx="0">
                  <v>1</v>
                </pt>
                <pt idx="1">
                  <v>2</v>
                </pt>
                <pt idx="2">
                  <v>3</v>
                </pt>
                <pt idx="3">
                  <v>5</v>
                </pt>
                <pt idx="4">
                  <v>0</v>
                </pt>
                <pt idx="5">
                  <v>0</v>
                </pt>
              </numCache>
            </numRef>
          </cat>
          <val>
            <numRef>
              <f>SnapCap!$AL$13:$AL$18</f>
              <numCache>
                <formatCode>General</formatCode>
                <ptCount val="6"/>
                <pt idx="0">
                  <v>0</v>
                </pt>
                <pt idx="1">
                  <v>0</v>
                </pt>
                <pt idx="2">
                  <v>0</v>
                </pt>
                <pt idx="3">
                  <v>0</v>
                </pt>
                <pt idx="4">
                  <v>0</v>
                </pt>
                <pt idx="5">
                  <v>0</v>
                </pt>
              </numCache>
            </numRef>
          </val>
        </ser>
        <dLbls>
          <showLegendKey val="0"/>
          <showVal val="1"/>
          <showCatName val="0"/>
          <showSerName val="0"/>
          <showPercent val="0"/>
          <showBubbleSize val="0"/>
        </dLbls>
        <gapWidth val="150"/>
        <gapDepth val="150"/>
        <shape val="box"/>
        <axId val="72833743"/>
        <axId val="354938111"/>
        <axId val="1000"/>
      </bar3DChart>
      <catAx>
        <axId val="7283374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54938111"/>
        <crosses val="autoZero"/>
        <auto val="1"/>
        <lblAlgn val="ctr"/>
        <lblOffset val="100"/>
        <noMultiLvlLbl val="0"/>
      </catAx>
      <valAx>
        <axId val="3549381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72833743"/>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strike="noStrike" baseline="0">
                <effectLst/>
              </a:rPr>
              <a:t>Quality (V2)</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explosion val="3"/>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SnapCap!$AN$12:$AN$13</f>
              <strCache>
                <ptCount val="2"/>
                <pt idx="0">
                  <v>QA Passed</v>
                </pt>
                <pt idx="1">
                  <v>Rework</v>
                </pt>
              </strCache>
            </strRef>
          </cat>
          <val>
            <numRef>
              <f>SnapCap!$AO$12:$AO$13</f>
              <numCache>
                <formatCode>General</formatCode>
                <ptCount val="2"/>
                <pt idx="0">
                  <v>47</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SnapCap!$AK$51</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SnapCap!$AK$52:$AK$57</f>
              <numCache>
                <formatCode>0%</formatCode>
                <ptCount val="6"/>
                <pt idx="0">
                  <v>1</v>
                </pt>
                <pt idx="1">
                  <v>0</v>
                </pt>
                <pt idx="2">
                  <v>0</v>
                </pt>
                <pt idx="3">
                  <v>0.25</v>
                </pt>
                <pt idx="4">
                  <v>0.5</v>
                </pt>
                <pt idx="5">
                  <v>0.1333333333333333</v>
                </pt>
              </numCache>
            </numRef>
          </val>
          <smooth val="0"/>
        </ser>
        <ser>
          <idx val="1"/>
          <order val="1"/>
          <tx>
            <strRef>
              <f>SnapCap!$AL$51</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SnapCap!$AL$52:$AL$57</f>
              <numCache>
                <formatCode>0%</formatCode>
                <ptCount val="6"/>
                <pt idx="0">
                  <v>1</v>
                </pt>
                <pt idx="1">
                  <v>0.7272727272727273</v>
                </pt>
                <pt idx="2">
                  <v>0.1052631578947368</v>
                </pt>
                <pt idx="3">
                  <v>0.2</v>
                </pt>
                <pt idx="4">
                  <v>0.2941176470588235</v>
                </pt>
                <pt idx="5">
                  <v>0.1875</v>
                </pt>
              </numCache>
            </numRef>
          </val>
          <smooth val="0"/>
        </ser>
        <dLbls>
          <showLegendKey val="0"/>
          <showVal val="0"/>
          <showCatName val="0"/>
          <showSerName val="0"/>
          <showPercent val="0"/>
          <showBubbleSize val="0"/>
        </dLbls>
        <marker val="1"/>
        <smooth val="0"/>
        <axId val="1546928191"/>
        <axId val="1162280351"/>
      </lineChart>
      <catAx>
        <axId val="1546928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0351"/>
        <crosses val="autoZero"/>
        <auto val="1"/>
        <lblAlgn val="ctr"/>
        <lblOffset val="100"/>
        <noMultiLvlLbl val="0"/>
      </catAx>
      <valAx>
        <axId val="1162280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692819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SnapCap!$AO$57</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SnapCap!$AO$58:$AO$63</f>
              <numCache>
                <formatCode>0%</formatCode>
                <ptCount val="6"/>
                <pt idx="0">
                  <v>0</v>
                </pt>
                <pt idx="1">
                  <v>0</v>
                </pt>
                <pt idx="2">
                  <v>0</v>
                </pt>
                <pt idx="3">
                  <v>0</v>
                </pt>
                <pt idx="4">
                  <v>0</v>
                </pt>
                <pt idx="5">
                  <v>0</v>
                </pt>
              </numCache>
            </numRef>
          </val>
          <smooth val="0"/>
        </ser>
        <ser>
          <idx val="1"/>
          <order val="1"/>
          <tx>
            <strRef>
              <f>SnapCap!$AP$57</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SnapCap!$AP$58:$AP$63</f>
              <numCache>
                <formatCode>0%</formatCode>
                <ptCount val="6"/>
                <pt idx="0">
                  <v>0.2</v>
                </pt>
                <pt idx="1">
                  <v>0.3636363636363636</v>
                </pt>
                <pt idx="2">
                  <v>0</v>
                </pt>
                <pt idx="3">
                  <v>0</v>
                </pt>
                <pt idx="4">
                  <v>0</v>
                </pt>
                <pt idx="5">
                  <v>0.1875</v>
                </pt>
              </numCache>
            </numRef>
          </val>
          <smooth val="0"/>
        </ser>
        <dLbls>
          <showLegendKey val="0"/>
          <showVal val="0"/>
          <showCatName val="0"/>
          <showSerName val="0"/>
          <showPercent val="0"/>
          <showBubbleSize val="0"/>
        </dLbls>
        <marker val="1"/>
        <smooth val="0"/>
        <axId val="1313464815"/>
        <axId val="1162281599"/>
      </lineChart>
      <catAx>
        <axId val="1313464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1599"/>
        <crosses val="autoZero"/>
        <auto val="1"/>
        <lblAlgn val="ctr"/>
        <lblOffset val="100"/>
        <noMultiLvlLbl val="0"/>
      </catAx>
      <valAx>
        <axId val="1162281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648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5.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SnapCap!$AO$27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SnapCap!$AN$28:$AN$34</f>
              <strCache>
                <ptCount val="6"/>
                <pt idx="0">
                  <v>2021: SC 8.2</v>
                </pt>
                <pt idx="1">
                  <v>2021: SC 9.1</v>
                </pt>
                <pt idx="2">
                  <v>2021: SC 9.2</v>
                </pt>
                <pt idx="3">
                  <v>2021: SC 9.3</v>
                </pt>
                <pt idx="4">
                  <v>2021: SC 10.1</v>
                </pt>
                <pt idx="5">
                  <v>2021: SC 10.2</v>
                </pt>
              </strCache>
            </strRef>
          </cat>
          <val>
            <numRef>
              <f>SnapCap!$AO$28:$AO$34</f>
              <numCache>
                <formatCode>0%</formatCode>
                <ptCount val="7"/>
                <pt idx="0">
                  <v>0.8571428571428571</v>
                </pt>
                <pt idx="1">
                  <v>1.4</v>
                </pt>
                <pt idx="2">
                  <v>0.8571428571428571</v>
                </pt>
                <pt idx="3">
                  <v>1.4</v>
                </pt>
                <pt idx="4">
                  <v>1.333333333333333</v>
                </pt>
                <pt idx="5">
                  <v>1</v>
                </pt>
              </numCache>
            </numRef>
          </val>
        </ser>
        <dLbls>
          <showLegendKey val="0"/>
          <showVal val="0"/>
          <showCatName val="0"/>
          <showSerName val="0"/>
          <showPercent val="0"/>
          <showBubbleSize val="0"/>
        </dLbls>
        <gapWidth val="150"/>
        <gapDepth val="150"/>
        <shape val="box"/>
        <axId val="468716656"/>
        <axId val="468718320"/>
        <axId val="1000"/>
      </bar3DChart>
      <catAx>
        <axId val="4687166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8320"/>
        <crosses val="autoZero"/>
        <auto val="1"/>
        <lblAlgn val="ctr"/>
        <lblOffset val="100"/>
        <noMultiLvlLbl val="0"/>
      </catAx>
      <valAx>
        <axId val="46871832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665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 (Last Three Months)</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LONB!$AK$12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LONB!$AK$13:$AK$19</f>
              <numCache>
                <formatCode>General</formatCode>
                <ptCount val="7"/>
                <pt idx="0">
                  <v>35</v>
                </pt>
                <pt idx="1">
                  <v>27</v>
                </pt>
                <pt idx="2">
                  <v>21</v>
                </pt>
                <pt idx="3">
                  <v>26</v>
                </pt>
                <pt idx="4">
                  <v>38</v>
                </pt>
                <pt idx="5">
                  <v>23</v>
                </pt>
                <pt idx="6">
                  <v>17</v>
                </pt>
              </numCache>
            </numRef>
          </val>
        </ser>
        <ser>
          <idx val="1"/>
          <order val="1"/>
          <tx>
            <strRef>
              <f>LONB!$AL$12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LONB!$AL$13:$AL$19</f>
              <numCache>
                <formatCode>General</formatCode>
                <ptCount val="7"/>
                <pt idx="0">
                  <v>7</v>
                </pt>
                <pt idx="1">
                  <v>23</v>
                </pt>
                <pt idx="2">
                  <v>34</v>
                </pt>
                <pt idx="3">
                  <v>25</v>
                </pt>
                <pt idx="4">
                  <v>15</v>
                </pt>
                <pt idx="5">
                  <v>46</v>
                </pt>
                <pt idx="6">
                  <v>14</v>
                </pt>
              </numCache>
            </numRef>
          </val>
        </ser>
        <dLbls>
          <showLegendKey val="0"/>
          <showVal val="0"/>
          <showCatName val="0"/>
          <showSerName val="0"/>
          <showPercent val="0"/>
          <showBubbleSize val="0"/>
        </dLbls>
        <gapWidth val="150"/>
        <gapDepth val="150"/>
        <shape val="box"/>
        <axId val="2108323247"/>
        <axId val="2109790543"/>
        <axId val="1000"/>
      </bar3DChart>
      <catAx>
        <axId val="210832324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9790543"/>
        <crosses val="autoZero"/>
        <auto val="1"/>
        <lblAlgn val="ctr"/>
        <lblOffset val="100"/>
        <noMultiLvlLbl val="0"/>
      </catAx>
      <valAx>
        <axId val="2109790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832324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LONB!$AN$12:$AN$13</f>
              <strCache>
                <ptCount val="2"/>
                <pt idx="0">
                  <v>QA Passed</v>
                </pt>
                <pt idx="1">
                  <v>Rework</v>
                </pt>
              </strCache>
            </strRef>
          </cat>
          <val>
            <numRef>
              <f>LONB!$AO$12:$AO$13</f>
              <numCache>
                <formatCode>General</formatCode>
                <ptCount val="2"/>
                <pt idx="0">
                  <v>140</v>
                </pt>
                <pt idx="1">
                  <v>47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LONB!$AO$33:$AO$39</f>
              <numCache>
                <formatCode>0%</formatCode>
                <ptCount val="7"/>
                <pt idx="0">
                  <v>0.4666666666666667</v>
                </pt>
                <pt idx="1">
                  <v>0.125</v>
                </pt>
                <pt idx="2">
                  <v>0.1025641025641026</v>
                </pt>
                <pt idx="3">
                  <v>0.6111111111111112</v>
                </pt>
                <pt idx="4">
                  <v>0.2444444444444444</v>
                </pt>
                <pt idx="5">
                  <v>0.3928571428571428</v>
                </pt>
                <pt idx="6">
                  <v>0</v>
                </pt>
              </numCache>
            </numRef>
          </val>
          <smooth val="0"/>
        </ser>
        <ser>
          <idx val="1"/>
          <order val="1"/>
          <tx>
            <strRef>
              <f>LONB!$AP$32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LONB!$AP$33:$AP$39</f>
              <numCache>
                <formatCode>0%</formatCode>
                <ptCount val="7"/>
                <pt idx="0">
                  <v>0.06666666666666667</v>
                </pt>
                <pt idx="1">
                  <v>0.125</v>
                </pt>
                <pt idx="2">
                  <v>0.3076923076923077</v>
                </pt>
                <pt idx="3">
                  <v>0.6666666666666666</v>
                </pt>
                <pt idx="4">
                  <v>0.1333333333333333</v>
                </pt>
                <pt idx="5">
                  <v>0.5714285714285714</v>
                </pt>
                <pt idx="6">
                  <v>0.08695652173913043</v>
                </pt>
              </numCache>
            </numRef>
          </val>
          <smooth val="0"/>
        </ser>
        <dLbls>
          <showLegendKey val="0"/>
          <showVal val="0"/>
          <showCatName val="0"/>
          <showSerName val="0"/>
          <showPercent val="0"/>
          <showBubbleSize val="0"/>
        </dLbls>
        <marker val="1"/>
        <smooth val="0"/>
        <axId val="1543277519"/>
        <axId val="1162288255"/>
      </lineChart>
      <catAx>
        <axId val="15432775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8255"/>
        <crosses val="autoZero"/>
        <auto val="1"/>
        <lblAlgn val="ctr"/>
        <lblOffset val="100"/>
        <noMultiLvlLbl val="0"/>
      </catAx>
      <valAx>
        <axId val="11622882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775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LONB!$AK$33:$AK$39</f>
              <numCache>
                <formatCode>0%</formatCode>
                <ptCount val="7"/>
                <pt idx="0">
                  <v>0.3428571428571429</v>
                </pt>
                <pt idx="1">
                  <v>0.2962962962962963</v>
                </pt>
                <pt idx="2">
                  <v>0.1428571428571428</v>
                </pt>
                <pt idx="3">
                  <v>0.4230769230769231</v>
                </pt>
                <pt idx="4">
                  <v>0.2105263157894737</v>
                </pt>
                <pt idx="5">
                  <v>0.2173913043478261</v>
                </pt>
                <pt idx="6">
                  <v>0</v>
                </pt>
              </numCache>
            </numRef>
          </val>
          <smooth val="0"/>
        </ser>
        <ser>
          <idx val="1"/>
          <order val="1"/>
          <tx>
            <strRef>
              <f>LONB!$AL$32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LONB!$AL$33:$AL$39</f>
              <numCache>
                <formatCode>0%</formatCode>
                <ptCount val="7"/>
                <pt idx="0">
                  <v>0</v>
                </pt>
                <pt idx="1">
                  <v>0.275</v>
                </pt>
                <pt idx="2">
                  <v>0.282051282051282</v>
                </pt>
                <pt idx="3">
                  <v>0.7777777777777778</v>
                </pt>
                <pt idx="4">
                  <v>0.2</v>
                </pt>
                <pt idx="5">
                  <v>0.1071428571428571</v>
                </pt>
                <pt idx="6">
                  <v>0</v>
                </pt>
              </numCache>
            </numRef>
          </val>
          <smooth val="0"/>
        </ser>
        <dLbls>
          <showLegendKey val="0"/>
          <showVal val="0"/>
          <showCatName val="0"/>
          <showSerName val="0"/>
          <showPercent val="0"/>
          <showBubbleSize val="0"/>
        </dLbls>
        <marker val="1"/>
        <smooth val="0"/>
        <axId val="1596285599"/>
        <axId val="1515070719"/>
      </lineChart>
      <catAx>
        <axId val="15962855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070719"/>
        <crosses val="autoZero"/>
        <auto val="1"/>
        <lblAlgn val="ctr"/>
        <lblOffset val="100"/>
        <noMultiLvlLbl val="0"/>
      </catAx>
      <valAx>
        <axId val="15150707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855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manualLayout>
          <layoutTarget val="inner"/>
          <xMode val="edge"/>
          <yMode val="edge"/>
          <wMode val="factor"/>
          <hMode val="factor"/>
          <x val="0.07848451352593057"/>
          <y val="0.1856018518518519"/>
          <w val="0.8937858504255426"/>
          <h val="0.6700309857101195"/>
        </manualLayout>
      </layout>
      <bar3DChart>
        <barDir val="col"/>
        <grouping val="clustered"/>
        <varyColors val="0"/>
        <ser>
          <idx val="0"/>
          <order val="0"/>
          <tx>
            <strRef>
              <f>LONB!$AK$53</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LONB!$AJ$54:$AJ$60</f>
              <strCache>
                <ptCount val="7"/>
                <pt idx="0">
                  <v>LONB 5/25 - 6/08</v>
                </pt>
                <pt idx="1">
                  <v>LONB 6/08 - 6/22</v>
                </pt>
                <pt idx="2">
                  <v>LONB 6/22 - 7/06</v>
                </pt>
                <pt idx="3">
                  <v>LONB 7/06 - 7/20</v>
                </pt>
                <pt idx="4">
                  <v>LONB 7/20 - 8/03</v>
                </pt>
                <pt idx="5">
                  <v>LONB 8/03 - 8/17</v>
                </pt>
                <pt idx="6">
                  <v>LONB 8/017 - 8/31</v>
                </pt>
              </strCache>
            </strRef>
          </cat>
          <val>
            <numRef>
              <f>LONB!$AK$54:$AK$60</f>
              <numCache>
                <formatCode>0%</formatCode>
                <ptCount val="7"/>
                <pt idx="0">
                  <v>1.166666666666667</v>
                </pt>
                <pt idx="1">
                  <v>0.675</v>
                </pt>
                <pt idx="2">
                  <v>1.166666666666667</v>
                </pt>
                <pt idx="3">
                  <v>1.444444444444444</v>
                </pt>
                <pt idx="4">
                  <v>0.8444444444444444</v>
                </pt>
                <pt idx="5">
                  <v>0.8214285714285714</v>
                </pt>
                <pt idx="6">
                  <v>0.7391304347826086</v>
                </pt>
              </numCache>
            </numRef>
          </val>
        </ser>
        <dLbls>
          <showLegendKey val="0"/>
          <showVal val="0"/>
          <showCatName val="0"/>
          <showSerName val="0"/>
          <showPercent val="0"/>
          <showBubbleSize val="0"/>
        </dLbls>
        <gapWidth val="150"/>
        <gapDepth val="150"/>
        <shape val="box"/>
        <axId val="588690111"/>
        <axId val="596299167"/>
        <axId val="1000"/>
      </bar3DChart>
      <catAx>
        <axId val="58869011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96299167"/>
        <crosses val="autoZero"/>
        <auto val="1"/>
        <lblAlgn val="ctr"/>
        <lblOffset val="100"/>
        <noMultiLvlLbl val="0"/>
      </catAx>
      <valAx>
        <axId val="59629916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88690111"/>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Throughput Distribution (Last 14 Weeks)</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Voltron!$AK$19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Voltron!$AK$20:$AK$33</f>
              <numCache>
                <formatCode>General</formatCode>
                <ptCount val="14"/>
                <pt idx="0">
                  <v>3</v>
                </pt>
                <pt idx="1">
                  <v>24</v>
                </pt>
                <pt idx="2">
                  <v>27</v>
                </pt>
                <pt idx="3">
                  <v>24</v>
                </pt>
                <pt idx="4">
                  <v>8</v>
                </pt>
                <pt idx="5">
                  <v>18</v>
                </pt>
                <pt idx="6">
                  <v>24</v>
                </pt>
                <pt idx="7">
                  <v>9</v>
                </pt>
                <pt idx="8">
                  <v>20</v>
                </pt>
                <pt idx="9">
                  <v>21</v>
                </pt>
                <pt idx="10">
                  <v>16</v>
                </pt>
                <pt idx="11">
                  <v>17</v>
                </pt>
                <pt idx="12">
                  <v>15</v>
                </pt>
                <pt idx="13">
                  <v>13</v>
                </pt>
              </numCache>
            </numRef>
          </val>
        </ser>
        <ser>
          <idx val="1"/>
          <order val="1"/>
          <tx>
            <strRef>
              <f>Voltron!$AL$19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Voltron!$AL$20:$AL$33</f>
              <numCache>
                <formatCode>General</formatCode>
                <ptCount val="14"/>
                <pt idx="0">
                  <v>7</v>
                </pt>
                <pt idx="1">
                  <v>6</v>
                </pt>
                <pt idx="2">
                  <v>3</v>
                </pt>
                <pt idx="3">
                  <v>2</v>
                </pt>
                <pt idx="4">
                  <v>1</v>
                </pt>
                <pt idx="5">
                  <v>2</v>
                </pt>
                <pt idx="6">
                  <v>3</v>
                </pt>
                <pt idx="7">
                  <v>1</v>
                </pt>
                <pt idx="8">
                  <v>0</v>
                </pt>
                <pt idx="9">
                  <v>1</v>
                </pt>
                <pt idx="10">
                  <v>3</v>
                </pt>
                <pt idx="11">
                  <v>0</v>
                </pt>
                <pt idx="12">
                  <v>5</v>
                </pt>
                <pt idx="13">
                  <v>7</v>
                </pt>
              </numCache>
            </numRef>
          </val>
        </ser>
        <dLbls>
          <showLegendKey val="0"/>
          <showVal val="0"/>
          <showCatName val="0"/>
          <showSerName val="0"/>
          <showPercent val="0"/>
          <showBubbleSize val="0"/>
        </dLbls>
        <gapWidth val="150"/>
        <gapDepth val="150"/>
        <shape val="box"/>
        <axId val="161604128"/>
        <axId val="293729152"/>
        <axId val="1000"/>
      </bar3DChart>
      <catAx>
        <axId val="161604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93729152"/>
        <crosses val="autoZero"/>
        <auto val="1"/>
        <lblAlgn val="ctr"/>
        <lblOffset val="100"/>
        <noMultiLvlLbl val="0"/>
      </catAx>
      <valAx>
        <axId val="2937291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1604128"/>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Voltron!$AN$19:$AN$20</f>
              <strCache>
                <ptCount val="2"/>
                <pt idx="0">
                  <v>QA Passed</v>
                </pt>
                <pt idx="1">
                  <v>Rework</v>
                </pt>
              </strCache>
            </strRef>
          </cat>
          <val>
            <numRef>
              <f>Voltron!$AO$19:$AO$20</f>
              <numCache>
                <formatCode>General</formatCode>
                <ptCount val="2"/>
                <pt idx="0">
                  <v>225</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Voltron!$AK$53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Voltron!$AK$54:$AK$67</f>
              <numCache>
                <formatCode>0%</formatCode>
                <ptCount val="14"/>
                <pt idx="0">
                  <v>0</v>
                </pt>
                <pt idx="1">
                  <v>0</v>
                </pt>
                <pt idx="2">
                  <v>0</v>
                </pt>
                <pt idx="3">
                  <v>0</v>
                </pt>
                <pt idx="4">
                  <v>0</v>
                </pt>
                <pt idx="5">
                  <v>0</v>
                </pt>
                <pt idx="6">
                  <v>0</v>
                </pt>
                <pt idx="7">
                  <v>0</v>
                </pt>
                <pt idx="8">
                  <v>0.15</v>
                </pt>
                <pt idx="9">
                  <v>0.09523809523809523</v>
                </pt>
                <pt idx="10">
                  <v>0.125</v>
                </pt>
                <pt idx="11">
                  <v>0.2352941176470588</v>
                </pt>
                <pt idx="12">
                  <v>0</v>
                </pt>
                <pt idx="13">
                  <v>0.2307692307692308</v>
                </pt>
              </numCache>
            </numRef>
          </val>
          <smooth val="0"/>
        </ser>
        <ser>
          <idx val="1"/>
          <order val="1"/>
          <tx>
            <strRef>
              <f>Voltron!$AL$53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Voltron!$AL$54:$AL$67</f>
              <numCache>
                <formatCode>0%</formatCode>
                <ptCount val="14"/>
                <pt idx="0">
                  <v>0.2857142857142857</v>
                </pt>
                <pt idx="1">
                  <v>0</v>
                </pt>
                <pt idx="2">
                  <v>0.6666666666666666</v>
                </pt>
                <pt idx="3">
                  <v>0</v>
                </pt>
                <pt idx="4">
                  <v>2</v>
                </pt>
                <pt idx="5">
                  <v>0.5</v>
                </pt>
                <pt idx="6">
                  <v>0</v>
                </pt>
                <pt idx="7">
                  <v>0</v>
                </pt>
                <pt idx="8">
                  <v>0</v>
                </pt>
                <pt idx="9">
                  <v>2</v>
                </pt>
                <pt idx="10">
                  <v>0.6666666666666666</v>
                </pt>
                <pt idx="11">
                  <v>0</v>
                </pt>
                <pt idx="12">
                  <v>0</v>
                </pt>
                <pt idx="13">
                  <v>0.4285714285714285</v>
                </pt>
              </numCache>
            </numRef>
          </val>
          <smooth val="0"/>
        </ser>
        <dLbls>
          <showLegendKey val="0"/>
          <showVal val="0"/>
          <showCatName val="0"/>
          <showSerName val="0"/>
          <showPercent val="0"/>
          <showBubbleSize val="0"/>
        </dLbls>
        <marker val="1"/>
        <smooth val="0"/>
        <axId val="1308587983"/>
        <axId val="1162263295"/>
      </lineChart>
      <catAx>
        <axId val="130858798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3295"/>
        <crosses val="autoZero"/>
        <auto val="1"/>
        <lblAlgn val="ctr"/>
        <lblOffset val="100"/>
        <noMultiLvlLbl val="0"/>
      </catAx>
      <valAx>
        <axId val="11622632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0858798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Voltron!$AO$53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Voltron!$AO$54:$AO$67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Voltron!$AP$53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Voltron!$AP$54:$AP$67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605334479"/>
        <axId val="1162264543"/>
      </lineChart>
      <catAx>
        <axId val="16053344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4543"/>
        <crosses val="autoZero"/>
        <auto val="1"/>
        <lblAlgn val="ctr"/>
        <lblOffset val="100"/>
        <noMultiLvlLbl val="0"/>
      </catAx>
      <valAx>
        <axId val="1162264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053344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DASH'!$AK$13:$AK$19</f>
              <numCache>
                <formatCode>General</formatCode>
                <ptCount val="7"/>
                <pt idx="0">
                  <v>6</v>
                </pt>
                <pt idx="1">
                  <v>13</v>
                </pt>
                <pt idx="2">
                  <v>9</v>
                </pt>
                <pt idx="3">
                  <v>7</v>
                </pt>
                <pt idx="4">
                  <v>9</v>
                </pt>
                <pt idx="5">
                  <v>6</v>
                </pt>
                <pt idx="6">
                  <v>9</v>
                </pt>
              </numCache>
            </numRef>
          </val>
        </ser>
        <ser>
          <idx val="1"/>
          <order val="1"/>
          <tx>
            <strRef>
              <f>'MyLT DASH'!$AL$12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DASH'!$AL$13:$AL$19</f>
              <numCache>
                <formatCode>General</formatCode>
                <ptCount val="7"/>
                <pt idx="0">
                  <v>92</v>
                </pt>
                <pt idx="1">
                  <v>65</v>
                </pt>
                <pt idx="2">
                  <v>65</v>
                </pt>
                <pt idx="3">
                  <v>69</v>
                </pt>
                <pt idx="4">
                  <v>85</v>
                </pt>
                <pt idx="5">
                  <v>59</v>
                </pt>
                <pt idx="6">
                  <v>45</v>
                </pt>
              </numCache>
            </numRef>
          </val>
        </ser>
        <dLbls>
          <showLegendKey val="0"/>
          <showVal val="0"/>
          <showCatName val="0"/>
          <showSerName val="0"/>
          <showPercent val="0"/>
          <showBubbleSize val="0"/>
        </dLbls>
        <gapWidth val="150"/>
        <gapDepth val="150"/>
        <shape val="box"/>
        <axId val="183482191"/>
        <axId val="1935051647"/>
        <axId val="1000"/>
      </bar3DChart>
      <catAx>
        <axId val="183482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35051647"/>
        <crosses val="autoZero"/>
        <auto val="1"/>
        <lblAlgn val="ctr"/>
        <lblOffset val="100"/>
        <noMultiLvlLbl val="0"/>
      </catAx>
      <valAx>
        <axId val="193505164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83482191"/>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a:noFill/>
                <a:prstDash val="solid"/>
              </a:ln>
              <a:sp3d xmlns:a="http://schemas.openxmlformats.org/drawingml/2006/main">
                <contourClr rgb="00000000"/>
              </a:sp3d>
            </spPr>
          </dPt>
          <dPt>
            <idx val="1"/>
            <bubble3D val="0"/>
            <spPr>
              <a:solidFill xmlns:a="http://schemas.openxmlformats.org/drawingml/2006/main">
                <a:schemeClr val="accent5"/>
              </a:solidFill>
              <a:ln xmlns:a="http://schemas.openxmlformats.org/drawingml/2006/main">
                <a:noFill/>
                <a:prstDash val="solid"/>
              </a:ln>
              <a:sp3d xmlns:a="http://schemas.openxmlformats.org/drawingml/2006/main">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None</a:t>
                </a:r>
                <a:endParaRPr lang="en-US"/>
              </a:p>
            </txPr>
            <showLegendKey val="0"/>
            <showVal val="0"/>
            <showCatName val="0"/>
            <showSerName val="0"/>
            <showPercent val="1"/>
            <showBubbleSize val="0"/>
            <showLeaderLines val="1"/>
          </dLbls>
          <cat>
            <strRef>
              <f>'MyLT DASH'!$AN$12:$AN$13</f>
              <strCache>
                <ptCount val="2"/>
                <pt idx="0">
                  <v>QA Passed</v>
                </pt>
                <pt idx="1">
                  <v>Rework</v>
                </pt>
              </strCache>
            </strRef>
          </cat>
          <val>
            <numRef>
              <f>'MyLT DASH'!$AO$12:$AO$13</f>
              <numCache>
                <formatCode>General</formatCode>
                <ptCount val="2"/>
                <pt idx="0">
                  <v>25</v>
                </pt>
                <pt idx="1">
                  <v>29</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'MyLT DASH'!$AK$32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DASH'!$AK$33:$AK$39</f>
              <numCache>
                <formatCode>0%</formatCode>
                <ptCount val="7"/>
                <pt idx="0">
                  <v>1</v>
                </pt>
                <pt idx="1">
                  <v>0.7692307692307693</v>
                </pt>
                <pt idx="2">
                  <v>0.5555555555555556</v>
                </pt>
                <pt idx="3">
                  <v>0.4285714285714285</v>
                </pt>
                <pt idx="4">
                  <v>0.2222222222222222</v>
                </pt>
                <pt idx="5">
                  <v>0.5</v>
                </pt>
                <pt idx="6">
                  <v>3.475579975579975</v>
                </pt>
              </numCache>
            </numRef>
          </val>
          <smooth val="0"/>
        </ser>
        <ser>
          <idx val="1"/>
          <order val="1"/>
          <tx>
            <strRef>
              <f>'MyLT DASH'!$AL$32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DASH'!$AL$33:$AL$39</f>
              <numCache>
                <formatCode>0%</formatCode>
                <ptCount val="7"/>
                <pt idx="0">
                  <v>0.2608695652173913</v>
                </pt>
                <pt idx="1">
                  <v>0.7076923076923077</v>
                </pt>
                <pt idx="2">
                  <v>0.1538461538461539</v>
                </pt>
                <pt idx="3">
                  <v>0.07246376811594203</v>
                </pt>
                <pt idx="4">
                  <v>0.07058823529411765</v>
                </pt>
                <pt idx="5">
                  <v>0.1016949152542373</v>
                </pt>
                <pt idx="6">
                  <v>1.36715494542015</v>
                </pt>
              </numCache>
            </numRef>
          </val>
          <smooth val="0"/>
        </ser>
        <dLbls>
          <showLegendKey val="0"/>
          <showVal val="0"/>
          <showCatName val="0"/>
          <showSerName val="0"/>
          <showPercent val="0"/>
          <showBubbleSize val="0"/>
        </dLbls>
        <marker val="1"/>
        <smooth val="0"/>
        <axId val="1419365903"/>
        <axId val="1515066143"/>
      </lineChart>
      <catAx>
        <axId val="141936590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6143"/>
        <crosses val="autoZero"/>
        <auto val="1"/>
        <lblAlgn val="ctr"/>
        <lblOffset val="100"/>
        <noMultiLvlLbl val="0"/>
      </catAx>
      <valAx>
        <axId val="15150661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41936590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'MyLT DASH'!$AO$32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DASH'!$AN$33:$AN$39</f>
              <strCache>
                <ptCount val="7"/>
                <pt idx="0">
                  <v>Grand Total</v>
                </pt>
                <pt idx="1">
                  <v>0</v>
                </pt>
                <pt idx="2">
                  <v>0</v>
                </pt>
                <pt idx="3">
                  <v>0</v>
                </pt>
                <pt idx="4">
                  <v>0</v>
                </pt>
                <pt idx="5">
                  <v>0</v>
                </pt>
                <pt idx="6">
                  <v>0</v>
                </pt>
              </strCache>
            </strRef>
          </cat>
          <val>
            <numRef>
              <f>'MyLT DASH'!$AO$33:$AO$39</f>
              <numCache>
                <formatCode>0%</formatCode>
                <ptCount val="7"/>
                <pt idx="0">
                  <v>0</v>
                </pt>
                <pt idx="1">
                  <v>0</v>
                </pt>
                <pt idx="2">
                  <v>0</v>
                </pt>
                <pt idx="3">
                  <v>0</v>
                </pt>
                <pt idx="4">
                  <v>0</v>
                </pt>
                <pt idx="5">
                  <v>0</v>
                </pt>
                <pt idx="6">
                  <v>0</v>
                </pt>
              </numCache>
            </numRef>
          </val>
          <smooth val="0"/>
        </ser>
        <ser>
          <idx val="1"/>
          <order val="1"/>
          <tx>
            <strRef>
              <f>'MyLT DASH'!$AP$32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DASH'!$AN$33:$AN$39</f>
              <strCache>
                <ptCount val="7"/>
                <pt idx="0">
                  <v>Grand Total</v>
                </pt>
                <pt idx="1">
                  <v>0</v>
                </pt>
                <pt idx="2">
                  <v>0</v>
                </pt>
                <pt idx="3">
                  <v>0</v>
                </pt>
                <pt idx="4">
                  <v>0</v>
                </pt>
                <pt idx="5">
                  <v>0</v>
                </pt>
                <pt idx="6">
                  <v>0</v>
                </pt>
              </strCache>
            </strRef>
          </cat>
          <val>
            <numRef>
              <f>'MyLT DASH'!$AP$33:$AP$39</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20428239"/>
        <axId val="1162274527"/>
      </lineChart>
      <catAx>
        <axId val="15204282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74527"/>
        <crosses val="autoZero"/>
        <auto val="1"/>
        <lblAlgn val="ctr"/>
        <lblOffset val="100"/>
        <noMultiLvlLbl val="0"/>
      </catAx>
      <valAx>
        <axId val="11622745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2042823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9.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DASH'!$AJ$53:$AJ$59</f>
              <strCache>
                <ptCount val="7"/>
                <pt idx="0">
                  <v>Grand Total</v>
                </pt>
                <pt idx="1">
                  <v>0</v>
                </pt>
                <pt idx="2">
                  <v>0</v>
                </pt>
                <pt idx="3">
                  <v>0</v>
                </pt>
                <pt idx="4">
                  <v>0</v>
                </pt>
                <pt idx="5">
                  <v>0</v>
                </pt>
                <pt idx="6">
                  <v>0</v>
                </pt>
              </strCache>
            </strRef>
          </cat>
          <val>
            <numRef>
              <f>'MyLT DASH'!$AK$53:$AK$59</f>
              <numCache>
                <formatCode>0%</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gapDepth val="150"/>
        <shape val="box"/>
        <axId val="468781136"/>
        <axId val="468794864"/>
        <axId val="1000"/>
      </bar3DChart>
      <catAx>
        <axId val="468781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94864"/>
        <crosses val="autoZero"/>
        <auto val="1"/>
        <lblAlgn val="ctr"/>
        <lblOffset val="100"/>
        <noMultiLvlLbl val="0"/>
      </catAx>
      <valAx>
        <axId val="46879486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81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IN"/>
              <a:t>Throughput Distribution (Last 14 Weeks)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'Marvel knights'!$AJ$19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knights'!$AJ$20:$AJ$33</f>
              <numCache>
                <formatCode>General</formatCode>
                <ptCount val="14"/>
                <pt idx="0">
                  <v>11</v>
                </pt>
                <pt idx="1">
                  <v>12</v>
                </pt>
                <pt idx="2">
                  <v>10</v>
                </pt>
                <pt idx="3">
                  <v>15</v>
                </pt>
                <pt idx="4">
                  <v>11</v>
                </pt>
                <pt idx="5">
                  <v>8</v>
                </pt>
                <pt idx="6">
                  <v>13</v>
                </pt>
                <pt idx="7">
                  <v>21</v>
                </pt>
                <pt idx="8">
                  <v>10</v>
                </pt>
                <pt idx="9">
                  <v>10</v>
                </pt>
                <pt idx="10">
                  <v>8</v>
                </pt>
                <pt idx="11">
                  <v>9</v>
                </pt>
                <pt idx="12">
                  <v>9</v>
                </pt>
                <pt idx="13">
                  <v>14</v>
                </pt>
              </numCache>
            </numRef>
          </val>
        </ser>
        <ser>
          <idx val="1"/>
          <order val="1"/>
          <tx>
            <strRef>
              <f>'Marvel knights'!$AK$19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knights'!$AK$20:$AK$33</f>
              <numCache>
                <formatCode>General</formatCode>
                <ptCount val="14"/>
                <pt idx="0">
                  <v>0</v>
                </pt>
                <pt idx="1">
                  <v>0</v>
                </pt>
                <pt idx="2">
                  <v>0</v>
                </pt>
                <pt idx="3">
                  <v>0</v>
                </pt>
                <pt idx="4">
                  <v>0</v>
                </pt>
                <pt idx="5">
                  <v>0</v>
                </pt>
                <pt idx="6">
                  <v>0</v>
                </pt>
                <pt idx="7">
                  <v>0</v>
                </pt>
                <pt idx="8">
                  <v>3</v>
                </pt>
                <pt idx="9">
                  <v>1</v>
                </pt>
                <pt idx="10">
                  <v>0</v>
                </pt>
                <pt idx="11">
                  <v>0</v>
                </pt>
                <pt idx="12">
                  <v>0</v>
                </pt>
                <pt idx="13">
                  <v>5</v>
                </pt>
              </numCache>
            </numRef>
          </val>
        </ser>
        <dLbls>
          <showLegendKey val="0"/>
          <showVal val="0"/>
          <showCatName val="0"/>
          <showSerName val="0"/>
          <showPercent val="0"/>
          <showBubbleSize val="0"/>
        </dLbls>
        <gapWidth val="150"/>
        <gapDepth val="150"/>
        <shape val="box"/>
        <axId val="227266336"/>
        <axId val="2060631312"/>
        <axId val="1000"/>
      </bar3DChart>
      <catAx>
        <axId val="2272663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060631312"/>
        <crosses val="autoZero"/>
        <auto val="1"/>
        <lblAlgn val="ctr"/>
        <lblOffset val="100"/>
        <noMultiLvlLbl val="0"/>
      </catAx>
      <valAx>
        <axId val="20606313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27266336"/>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'Marvel knights'!$AM$19:$AM$20</f>
              <strCache>
                <ptCount val="2"/>
                <pt idx="0">
                  <v>QA Passed</v>
                </pt>
                <pt idx="1">
                  <v>Rework</v>
                </pt>
              </strCache>
            </strRef>
          </cat>
          <val>
            <numRef>
              <f>'Marvel knights'!$AN$19:$AN$20</f>
              <numCache>
                <formatCode>General</formatCode>
                <ptCount val="2"/>
                <pt idx="0">
                  <v>144</v>
                </pt>
                <pt idx="1">
                  <v>17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knights'!$AJ$54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knights'!$AJ$55:$AJ$68</f>
              <numCache>
                <formatCode>0%</formatCode>
                <ptCount val="14"/>
                <pt idx="0">
                  <v>0</v>
                </pt>
                <pt idx="1">
                  <v>0</v>
                </pt>
                <pt idx="2">
                  <v>0</v>
                </pt>
                <pt idx="3">
                  <v>0</v>
                </pt>
                <pt idx="4">
                  <v>0</v>
                </pt>
                <pt idx="5">
                  <v>0</v>
                </pt>
                <pt idx="6">
                  <v>0</v>
                </pt>
                <pt idx="7">
                  <v>0</v>
                </pt>
                <pt idx="8">
                  <v>0.5</v>
                </pt>
                <pt idx="9">
                  <v>0</v>
                </pt>
                <pt idx="10">
                  <v>0.375</v>
                </pt>
                <pt idx="11">
                  <v>0.3333333333333333</v>
                </pt>
                <pt idx="12">
                  <v>0</v>
                </pt>
                <pt idx="13">
                  <v>0.4285714285714285</v>
                </pt>
              </numCache>
            </numRef>
          </val>
          <smooth val="0"/>
        </ser>
        <ser>
          <idx val="1"/>
          <order val="1"/>
          <tx>
            <strRef>
              <f>'Marvel knights'!$AK$54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knights'!$AK$55:$AK$68</f>
              <numCache>
                <formatCode>0%</formatCode>
                <ptCount val="14"/>
                <pt idx="0">
                  <v>0</v>
                </pt>
                <pt idx="1">
                  <v>0</v>
                </pt>
                <pt idx="2">
                  <v>0</v>
                </pt>
                <pt idx="3">
                  <v>0</v>
                </pt>
                <pt idx="4">
                  <v>0</v>
                </pt>
                <pt idx="5">
                  <v>0</v>
                </pt>
                <pt idx="6">
                  <v>0</v>
                </pt>
                <pt idx="7">
                  <v>0</v>
                </pt>
                <pt idx="8">
                  <v>0</v>
                </pt>
                <pt idx="9">
                  <v>5</v>
                </pt>
                <pt idx="10">
                  <v>0</v>
                </pt>
                <pt idx="11">
                  <v>0</v>
                </pt>
                <pt idx="12">
                  <v>0</v>
                </pt>
                <pt idx="13">
                  <v>0</v>
                </pt>
              </numCache>
            </numRef>
          </val>
          <smooth val="0"/>
        </ser>
        <dLbls>
          <showLegendKey val="0"/>
          <showVal val="0"/>
          <showCatName val="0"/>
          <showSerName val="0"/>
          <showPercent val="0"/>
          <showBubbleSize val="0"/>
        </dLbls>
        <marker val="1"/>
        <smooth val="0"/>
        <axId val="1596273999"/>
        <axId val="1162276607"/>
      </lineChart>
      <catAx>
        <axId val="15962739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6607"/>
        <crosses val="autoZero"/>
        <auto val="1"/>
        <lblAlgn val="ctr"/>
        <lblOffset val="100"/>
        <noMultiLvlLbl val="0"/>
      </catAx>
      <valAx>
        <axId val="11622766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739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knights'!$AN$54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knights'!$AN$55:$AN$68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'Marvel knights'!$AO$54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knights'!$AO$55:$AO$68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383932207"/>
        <axId val="1162281183"/>
      </lineChart>
      <catAx>
        <axId val="13839322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1183"/>
        <crosses val="autoZero"/>
        <auto val="1"/>
        <lblAlgn val="ctr"/>
        <lblOffset val="100"/>
        <noMultiLvlLbl val="0"/>
      </catAx>
      <valAx>
        <axId val="11622811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39322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stacked"/>
        <varyColors val="0"/>
        <ser>
          <idx val="0"/>
          <order val="0"/>
          <tx>
            <strRef>
              <f>CanopyNext!$AI$11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CanopyNext!$AI$12:$AI$17</f>
              <numCache>
                <formatCode>General</formatCode>
                <ptCount val="6"/>
                <pt idx="0">
                  <v>5</v>
                </pt>
                <pt idx="1">
                  <v>12</v>
                </pt>
                <pt idx="2">
                  <v>14</v>
                </pt>
                <pt idx="3">
                  <v>15</v>
                </pt>
                <pt idx="4">
                  <v>13</v>
                </pt>
                <pt idx="5">
                  <v>20</v>
                </pt>
              </numCache>
            </numRef>
          </val>
        </ser>
        <ser>
          <idx val="1"/>
          <order val="1"/>
          <tx>
            <strRef>
              <f>CanopyNext!$AJ$11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CanopyNext!$AJ$12:$AJ$17</f>
              <numCache>
                <formatCode>General</formatCode>
                <ptCount val="6"/>
                <pt idx="0">
                  <v>78</v>
                </pt>
                <pt idx="1">
                  <v>61</v>
                </pt>
                <pt idx="2">
                  <v>73</v>
                </pt>
                <pt idx="3">
                  <v>76</v>
                </pt>
                <pt idx="4">
                  <v>58</v>
                </pt>
                <pt idx="5">
                  <v>116</v>
                </pt>
              </numCache>
            </numRef>
          </val>
        </ser>
        <dLbls>
          <showLegendKey val="0"/>
          <showVal val="0"/>
          <showCatName val="0"/>
          <showSerName val="0"/>
          <showPercent val="0"/>
          <showBubbleSize val="0"/>
        </dLbls>
        <gapWidth val="144"/>
        <overlap val="100"/>
        <axId val="1934592767"/>
        <axId val="103664495"/>
      </bar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CanopyNext!$AR$11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CanopyNext!$AR$12:$AR$17</f>
              <numCache>
                <formatCode>0%</formatCode>
                <ptCount val="6"/>
                <pt idx="0">
                  <v>0</v>
                </pt>
                <pt idx="1">
                  <v>0</v>
                </pt>
                <pt idx="2">
                  <v>0</v>
                </pt>
                <pt idx="3">
                  <v>0.2666666666666667</v>
                </pt>
                <pt idx="4">
                  <v>0.3846153846153846</v>
                </pt>
                <pt idx="5">
                  <v>0.65</v>
                </pt>
              </numCache>
            </numRef>
          </val>
          <smooth val="0"/>
        </ser>
        <ser>
          <idx val="1"/>
          <order val="1"/>
          <tx>
            <strRef>
              <f>CanopyNext!$AS$11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CanopyNext!$AS$12:$AS$17</f>
              <numCache>
                <formatCode>0%</formatCode>
                <ptCount val="6"/>
                <pt idx="0">
                  <v>0.07692307692307693</v>
                </pt>
                <pt idx="1">
                  <v>0.08196721311475409</v>
                </pt>
                <pt idx="2">
                  <v>0.0684931506849315</v>
                </pt>
                <pt idx="3">
                  <v>0.07894736842105263</v>
                </pt>
                <pt idx="4">
                  <v>0.3103448275862069</v>
                </pt>
                <pt idx="5">
                  <v>0.06896551724137931</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CanopyNext!$AR$31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CanopyNext!$AR$32:$AR$37</f>
              <numCache>
                <formatCode>0%</formatCode>
                <ptCount val="6"/>
                <pt idx="0">
                  <v>1</v>
                </pt>
                <pt idx="1">
                  <v>0.5833333333333334</v>
                </pt>
                <pt idx="2">
                  <v>0.6428571428571429</v>
                </pt>
                <pt idx="3">
                  <v>0.7333333333333333</v>
                </pt>
                <pt idx="4">
                  <v>0</v>
                </pt>
                <pt idx="5">
                  <v>0</v>
                </pt>
              </numCache>
            </numRef>
          </val>
          <smooth val="0"/>
        </ser>
        <ser>
          <idx val="1"/>
          <order val="1"/>
          <tx>
            <strRef>
              <f>CanopyNext!$AS$31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CanopyNext!$AS$32:$AS$37</f>
              <numCache>
                <formatCode>0%</formatCode>
                <ptCount val="6"/>
                <pt idx="0">
                  <v>0.3461538461538461</v>
                </pt>
                <pt idx="1">
                  <v>0.459016393442623</v>
                </pt>
                <pt idx="2">
                  <v>0.3013698630136986</v>
                </pt>
                <pt idx="3">
                  <v>0.3684210526315789</v>
                </pt>
                <pt idx="4">
                  <v>0</v>
                </pt>
                <pt idx="5">
                  <v>0</v>
                </pt>
              </numCache>
            </numRef>
          </val>
          <smooth val="0"/>
        </ser>
        <dLbls>
          <dLblPos val="ctr"/>
          <showLegendKey val="0"/>
          <showVal val="1"/>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832449759"/>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8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rPr lang="en-US"/>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xmlns:a="http://schemas.openxmlformats.org/drawingml/2006/main">
              <a:solidFill>
                <a:schemeClr val="bg1"/>
              </a:solidFill>
              <a:prstDash val="solid"/>
              <a:bevel/>
            </a:ln>
          </spPr>
          <dPt>
            <idx val="0"/>
            <bubble3D val="0"/>
            <spPr>
              <a:solidFill xmlns:a="http://schemas.openxmlformats.org/drawingml/2006/main">
                <a:schemeClr val="accent6"/>
              </a:solidFill>
              <a:ln xmlns:a="http://schemas.openxmlformats.org/drawingml/2006/main" w="19050">
                <a:solidFill>
                  <a:schemeClr val="bg1"/>
                </a:solidFill>
                <a:prstDash val="solid"/>
                <a:bevel/>
              </a:ln>
            </spPr>
          </dPt>
          <dPt>
            <idx val="1"/>
            <bubble3D val="0"/>
            <spPr>
              <a:solidFill xmlns:a="http://schemas.openxmlformats.org/drawingml/2006/main">
                <a:schemeClr val="accent5"/>
              </a:solidFill>
              <a:ln xmlns:a="http://schemas.openxmlformats.org/drawingml/2006/main" w="19050">
                <a:solidFill>
                  <a:schemeClr val="bg1"/>
                </a:solidFill>
                <a:prstDash val="solid"/>
                <a:bevel/>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CanopyNext!$AL$11:$AL$12</f>
              <strCache>
                <ptCount val="2"/>
                <pt idx="0">
                  <v>QA Passed</v>
                </pt>
                <pt idx="1">
                  <v>Rework</v>
                </pt>
              </strCache>
            </strRef>
          </cat>
          <val>
            <numRef>
              <f>CanopyNext!$AM$11:$AM$12</f>
              <numCache>
                <formatCode>General</formatCode>
                <ptCount val="2"/>
                <pt idx="0">
                  <v>57</v>
                </pt>
                <pt idx="1">
                  <v>22</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dbl" algn="ctr">
      <a:solidFill>
        <a:schemeClr val="bg2"/>
      </a:solidFill>
      <a:prstDash val="solid"/>
      <a:round/>
    </a:ln>
  </spPr>
</chartSpace>
</file>

<file path=xl/charts/chart8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CanopyNext!$AI$32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CanopyNext!$AH$33:$AH$38</f>
              <strCache>
                <ptCount val="6"/>
                <pt idx="0">
                  <v>2026 2: SLE 02/11 - 02/25</v>
                </pt>
                <pt idx="1">
                  <v>2026 3: SLE 02/25 - 03/11</v>
                </pt>
                <pt idx="2">
                  <v>2026 4: SLE 03/11 - 03/25</v>
                </pt>
                <pt idx="3">
                  <v>2026 5: SLE 03/25 - 04/08</v>
                </pt>
                <pt idx="4">
                  <v>2026: SLE 04/08 - 04/30</v>
                </pt>
                <pt idx="5">
                  <v>2026: SLE 05/01 - 05/31</v>
                </pt>
              </strCache>
            </strRef>
          </cat>
          <val>
            <numRef>
              <f>CanopyNext!$AI$33:$AI$38</f>
              <numCache>
                <formatCode>#,##0</formatCode>
                <ptCount val="6"/>
                <pt idx="0">
                  <v>61.44578313253012</v>
                </pt>
                <pt idx="1">
                  <v>52.05479452054794</v>
                </pt>
                <pt idx="2">
                  <v>64.36781609195403</v>
                </pt>
                <pt idx="3">
                  <v>57.14285714285714</v>
                </pt>
                <pt idx="4">
                  <v>100</v>
                </pt>
                <pt idx="5">
                  <v>100</v>
                </pt>
              </numCache>
            </numRef>
          </val>
        </ser>
        <dLbls>
          <showLegendKey val="0"/>
          <showVal val="1"/>
          <showCatName val="0"/>
          <showSerName val="0"/>
          <showPercent val="0"/>
          <showBubbleSize val="0"/>
        </dLbls>
        <gapWidth val="150"/>
        <gapDepth val="150"/>
        <shape val="box"/>
        <axId val="1835971295"/>
        <axId val="2032138095"/>
        <axId val="1000"/>
      </bar3DChart>
      <catAx>
        <axId val="18359712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None</a:t>
            </a:r>
            <a:endParaRPr lang="en-US"/>
          </a:p>
        </txPr>
        <crossAx val="2032138095"/>
        <crosses val="autoZero"/>
        <auto val="1"/>
        <lblAlgn val="ctr"/>
        <lblOffset val="100"/>
        <noMultiLvlLbl val="0"/>
      </catAx>
      <valAx>
        <axId val="20321380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12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CanopyNext!$AK$58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CanopyNext!$AK$59:$AK$64</f>
              <numCache>
                <formatCode>General</formatCode>
                <ptCount val="6"/>
                <pt idx="0">
                  <v>0</v>
                </pt>
                <pt idx="1">
                  <v>0</v>
                </pt>
                <pt idx="2">
                  <v>0</v>
                </pt>
                <pt idx="3">
                  <v>4</v>
                </pt>
                <pt idx="4">
                  <v>5</v>
                </pt>
                <pt idx="5">
                  <v>13</v>
                </pt>
              </numCache>
            </numRef>
          </val>
          <smooth val="0"/>
        </ser>
        <ser>
          <idx val="1"/>
          <order val="1"/>
          <tx>
            <strRef>
              <f>CanopyNext!$AL$58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CanopyNext!$AL$59:$AL$64</f>
              <numCache>
                <formatCode>General</formatCode>
                <ptCount val="6"/>
                <pt idx="0">
                  <v>6</v>
                </pt>
                <pt idx="1">
                  <v>5</v>
                </pt>
                <pt idx="2">
                  <v>5</v>
                </pt>
                <pt idx="3">
                  <v>6</v>
                </pt>
                <pt idx="4">
                  <v>18</v>
                </pt>
                <pt idx="5">
                  <v>8</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2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b="1"/>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CanopyNext!$AK$49:$AK$54</f>
              <numCache>
                <formatCode>General</formatCode>
                <ptCount val="6"/>
                <pt idx="0">
                  <v>5</v>
                </pt>
                <pt idx="1">
                  <v>7</v>
                </pt>
                <pt idx="2">
                  <v>9</v>
                </pt>
                <pt idx="3">
                  <v>11</v>
                </pt>
                <pt idx="4">
                  <v>0</v>
                </pt>
                <pt idx="5">
                  <v>0</v>
                </pt>
              </numCache>
            </numRef>
          </val>
          <smooth val="0"/>
        </ser>
        <ser>
          <idx val="1"/>
          <order val="1"/>
          <tx>
            <strRef>
              <f>CanopyNext!$AL$48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CanopyNext!$AL$49:$AL$54</f>
              <numCache>
                <formatCode>General</formatCode>
                <ptCount val="6"/>
                <pt idx="0">
                  <v>27</v>
                </pt>
                <pt idx="1">
                  <v>28</v>
                </pt>
                <pt idx="2">
                  <v>22</v>
                </pt>
                <pt idx="3">
                  <v>28</v>
                </pt>
                <pt idx="4">
                  <v>0</v>
                </pt>
                <pt idx="5">
                  <v>0</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'UALS (InActive)'!$AK$32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(InActive)'!$AK$33:$AK$38</f>
              <numCache>
                <formatCode>0%</formatCode>
                <ptCount val="6"/>
                <pt idx="0">
                  <v>0</v>
                </pt>
                <pt idx="1">
                  <v>0</v>
                </pt>
                <pt idx="2">
                  <v>0</v>
                </pt>
                <pt idx="3">
                  <v>1</v>
                </pt>
                <pt idx="4">
                  <v>0.3333333333333333</v>
                </pt>
                <pt idx="5">
                  <v>0</v>
                </pt>
              </numCache>
            </numRef>
          </val>
          <smooth val="0"/>
        </ser>
        <ser>
          <idx val="1"/>
          <order val="1"/>
          <tx>
            <strRef>
              <f>'UALS (InActive)'!$AL$32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(InActive)'!$AL$33:$AL$38</f>
              <numCache>
                <formatCode>0%</formatCode>
                <ptCount val="6"/>
                <pt idx="0">
                  <v>0.9285714285714286</v>
                </pt>
                <pt idx="1">
                  <v>1.384615384615385</v>
                </pt>
                <pt idx="2">
                  <v>0.5294117647058824</v>
                </pt>
                <pt idx="3">
                  <v>1.391304347826087</v>
                </pt>
                <pt idx="4">
                  <v>0.15</v>
                </pt>
                <pt idx="5">
                  <v>0.07407407407407407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'UALS (InActive)'!$AK$52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(InActive)'!$AJ$53:$AJ$58</f>
              <strCache>
                <ptCount val="6"/>
                <pt idx="0">
                  <v>UALS 2026 (1.4): 1/20-1/26</v>
                </pt>
                <pt idx="1">
                  <v>UALS 2026 (1.5): 1/26-2/02</v>
                </pt>
                <pt idx="2">
                  <v>UALS 2026 (2.1): 2/02-2/09</v>
                </pt>
                <pt idx="3">
                  <v>UALS 2026 (2.2): 2/09-2/23</v>
                </pt>
                <pt idx="4">
                  <v>UALS 2026 (3.1): 2/23-3/09</v>
                </pt>
                <pt idx="5">
                  <v>UALS 2026 (3.2): 3/09-3/23</v>
                </pt>
              </strCache>
            </strRef>
          </cat>
          <val>
            <numRef>
              <f>'UALS (InActive)'!$AK$53:$AK$58</f>
              <numCache>
                <formatCode>0%</formatCode>
                <ptCount val="6"/>
                <pt idx="0">
                  <v>0.2456140350877193</v>
                </pt>
                <pt idx="1">
                  <v>0.2653061224489796</v>
                </pt>
                <pt idx="2">
                  <v>0.28125</v>
                </pt>
                <pt idx="3">
                  <v>0.4745762711864407</v>
                </pt>
                <pt idx="4">
                  <v>0.6875</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(InActive)'!$AO$33:$AO$38</f>
              <numCache>
                <formatCode>0%</formatCode>
                <ptCount val="6"/>
                <pt idx="0">
                  <v>0</v>
                </pt>
                <pt idx="1">
                  <v>0</v>
                </pt>
                <pt idx="2">
                  <v>9</v>
                </pt>
                <pt idx="3">
                  <v>0.4</v>
                </pt>
                <pt idx="4">
                  <v>0.5</v>
                </pt>
                <pt idx="5">
                  <v>0</v>
                </pt>
              </numCache>
            </numRef>
          </val>
          <smooth val="0"/>
        </ser>
        <ser>
          <idx val="1"/>
          <order val="1"/>
          <tx>
            <strRef>
              <f>'UALS (InActive)'!$AP$32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(InActive)'!$AP$33:$AP$38</f>
              <numCache>
                <formatCode>0%</formatCode>
                <ptCount val="6"/>
                <pt idx="0">
                  <v>2.714285714285714</v>
                </pt>
                <pt idx="1">
                  <v>2.769230769230769</v>
                </pt>
                <pt idx="2">
                  <v>2.176470588235294</v>
                </pt>
                <pt idx="3">
                  <v>1.260869565217391</v>
                </pt>
                <pt idx="4">
                  <v>0.45</v>
                </pt>
                <pt idx="5">
                  <v>0</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(InActive)'!$AN$43:$AN$48</f>
              <numCache>
                <formatCode>General</formatCode>
                <ptCount val="6"/>
                <pt idx="0">
                  <v>0</v>
                </pt>
                <pt idx="1">
                  <v>0</v>
                </pt>
                <pt idx="2">
                  <v>0</v>
                </pt>
                <pt idx="3">
                  <v>0</v>
                </pt>
                <pt idx="4">
                  <v>4</v>
                </pt>
                <pt idx="5">
                  <v>4</v>
                </pt>
              </numCache>
            </numRef>
          </val>
          <smooth val="0"/>
        </ser>
        <ser>
          <idx val="1"/>
          <order val="1"/>
          <tx>
            <strRef>
              <f>'UALS (InActive)'!$AO$42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(InActive)'!$AO$43:$AO$48</f>
              <numCache>
                <formatCode>General</formatCode>
                <ptCount val="6"/>
                <pt idx="0">
                  <v>13</v>
                </pt>
                <pt idx="1">
                  <v>18</v>
                </pt>
                <pt idx="2">
                  <v>9</v>
                </pt>
                <pt idx="3">
                  <v>32</v>
                </pt>
                <pt idx="4">
                  <v>6</v>
                </pt>
                <pt idx="5">
                  <v>2</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(InActive)'!$AN$52</f>
              <strCache>
                <ptCount val="1"/>
                <pt idx="0">
                  <v>V2</v>
                </pt>
              </strCache>
            </strRef>
          </tx>
          <spPr>
            <a:ln xmlns:a="http://schemas.openxmlformats.org/drawingml/2006/main" w="19050" cap="rnd">
              <a:solidFill>
                <a:schemeClr val="accent1"/>
              </a:solidFill>
              <a:prstDash val="solid"/>
              <a:round/>
            </a:ln>
          </spPr>
          <marker>
            <symbol val="circle"/>
            <size val="15"/>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(InActive)'!$AN$53:$AN$58</f>
              <numCache>
                <formatCode>General</formatCode>
                <ptCount val="6"/>
                <pt idx="0">
                  <v>5</v>
                </pt>
                <pt idx="1">
                  <v>0</v>
                </pt>
                <pt idx="2">
                  <v>9</v>
                </pt>
                <pt idx="3">
                  <v>2</v>
                </pt>
                <pt idx="4">
                  <v>2</v>
                </pt>
                <pt idx="5">
                  <v>0</v>
                </pt>
              </numCache>
            </numRef>
          </val>
          <smooth val="0"/>
        </ser>
        <ser>
          <idx val="1"/>
          <order val="1"/>
          <tx>
            <strRef>
              <f>'UALS (InActive)'!$AO$52</f>
              <strCache>
                <ptCount val="1"/>
                <pt idx="0">
                  <v>LT</v>
                </pt>
              </strCache>
            </strRef>
          </tx>
          <spPr>
            <a:ln xmlns:a="http://schemas.openxmlformats.org/drawingml/2006/main" w="19050" cap="rnd">
              <a:solidFill>
                <a:schemeClr val="accent2"/>
              </a:solidFill>
              <a:prstDash val="solid"/>
              <a:round/>
            </a:ln>
          </spPr>
          <marker>
            <symbol val="circle"/>
            <size val="15"/>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(InActive)'!$AO$53:$AO$58</f>
              <numCache>
                <formatCode>General</formatCode>
                <ptCount val="6"/>
                <pt idx="0">
                  <v>38</v>
                </pt>
                <pt idx="1">
                  <v>36</v>
                </pt>
                <pt idx="2">
                  <v>37</v>
                </pt>
                <pt idx="3">
                  <v>29</v>
                </pt>
                <pt idx="4">
                  <v>18</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'UALS (InActive)'!$AK$11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(InActive)'!$AK$12:$AK$17</f>
              <numCache>
                <formatCode>General</formatCode>
                <ptCount val="6"/>
                <pt idx="0">
                  <v>0</v>
                </pt>
                <pt idx="1">
                  <v>0</v>
                </pt>
                <pt idx="2">
                  <v>1</v>
                </pt>
                <pt idx="3">
                  <v>5</v>
                </pt>
                <pt idx="4">
                  <v>4</v>
                </pt>
                <pt idx="5">
                  <v>12</v>
                </pt>
              </numCache>
            </numRef>
          </val>
        </ser>
        <ser>
          <idx val="1"/>
          <order val="1"/>
          <tx>
            <strRef>
              <f>'UALS (InActive)'!$AL$11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(InActive)'!$AL$12:$AL$17</f>
              <numCache>
                <formatCode>General</formatCode>
                <ptCount val="6"/>
                <pt idx="0">
                  <v>14</v>
                </pt>
                <pt idx="1">
                  <v>13</v>
                </pt>
                <pt idx="2">
                  <v>17</v>
                </pt>
                <pt idx="3">
                  <v>23</v>
                </pt>
                <pt idx="4">
                  <v>40</v>
                </pt>
                <pt idx="5">
                  <v>27</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majorUnit val="10"/>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(InActi'!$AI$37:$AI$42</f>
              <numCache>
                <formatCode>0%</formatCode>
                <ptCount val="6"/>
                <pt idx="0">
                  <v>0.1470588235294118</v>
                </pt>
                <pt idx="1">
                  <v>0.08571428571428572</v>
                </pt>
                <pt idx="2">
                  <v>0.06666666666666667</v>
                </pt>
                <pt idx="3">
                  <v>0.119047619047619</v>
                </pt>
                <pt idx="4">
                  <v>0.1833333333333333</v>
                </pt>
                <pt idx="5">
                  <v>0.1964285714285714</v>
                </pt>
              </numCache>
            </numRef>
          </val>
          <smooth val="0"/>
        </ser>
        <ser>
          <idx val="1"/>
          <order val="1"/>
          <tx>
            <strRef>
              <f>'Wordpress Modernization (InActi'!$AJ$36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(InActi'!$AJ$37:$AJ$42</f>
              <numCache>
                <formatCode>0%</formatCode>
                <ptCount val="6"/>
                <pt idx="0">
                  <v>0.1052631578947368</v>
                </pt>
                <pt idx="1">
                  <v>0.1176470588235294</v>
                </pt>
                <pt idx="2">
                  <v>0</v>
                </pt>
                <pt idx="3">
                  <v>0.1304347826086956</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Carryover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(InActi'!$AM$36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(InActi'!$AM$37:$AM$42</f>
              <numCache>
                <formatCode>General</formatCode>
                <ptCount val="6"/>
                <pt idx="0">
                  <v>0</v>
                </pt>
                <pt idx="1">
                  <v>0</v>
                </pt>
                <pt idx="2">
                  <v>0</v>
                </pt>
                <pt idx="3">
                  <v>0</v>
                </pt>
                <pt idx="4">
                  <v>0</v>
                </pt>
                <pt idx="5">
                  <v>0</v>
                </pt>
              </numCache>
            </numRef>
          </val>
          <smooth val="0"/>
        </ser>
        <ser>
          <idx val="1"/>
          <order val="1"/>
          <tx>
            <strRef>
              <f>'Wordpress Modernization (InActi'!$AN$36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(InActi'!$AN$37:$AN$42</f>
              <numCache>
                <formatCode>General</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800046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'Wordpress Modernization (InActi'!$AM$58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(InActi'!$AL$59:$AL$64</f>
              <strCache>
                <ptCount val="6"/>
                <pt idx="0">
                  <v>WPML 09/01 - 09/30</v>
                </pt>
                <pt idx="1">
                  <v>WPML 10/01 -10/31</v>
                </pt>
                <pt idx="2">
                  <v>WPML 11/01 - 11/30</v>
                </pt>
                <pt idx="3">
                  <v>WPML 12/01 - 12/31</v>
                </pt>
                <pt idx="4">
                  <v>WPML 01/01 - 01/31</v>
                </pt>
                <pt idx="5">
                  <v>WPML 02/01 - 02/28</v>
                </pt>
              </strCache>
            </strRef>
          </cat>
          <val>
            <numRef>
              <f>'Wordpress Modernization (InActi'!$AM$59:$AM$64</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'Wordpress Modernization (InActi'!$AI$50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(InActi'!$AI$51:$AI$56</f>
              <numCache>
                <formatCode>General</formatCode>
                <ptCount val="6"/>
                <pt idx="0">
                  <v>19</v>
                </pt>
                <pt idx="1">
                  <v>17</v>
                </pt>
                <pt idx="2">
                  <v>16</v>
                </pt>
                <pt idx="3">
                  <v>23</v>
                </pt>
                <pt idx="4">
                  <v>8</v>
                </pt>
                <pt idx="5">
                  <v>19</v>
                </pt>
              </numCache>
            </numRef>
          </val>
        </ser>
        <ser>
          <idx val="1"/>
          <order val="1"/>
          <tx>
            <strRef>
              <f>'Wordpress Modernization (InActi'!$AJ$50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(InActi'!$AJ$51:$AJ$56</f>
              <numCache>
                <formatCode>General</formatCode>
                <ptCount val="6"/>
                <pt idx="0">
                  <v>68</v>
                </pt>
                <pt idx="1">
                  <v>70</v>
                </pt>
                <pt idx="2">
                  <v>45</v>
                </pt>
                <pt idx="3">
                  <v>42</v>
                </pt>
                <pt idx="4">
                  <v>60</v>
                </pt>
                <pt idx="5">
                  <v>56</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rPr lang="en-US" sz="1000" b="1" i="0" strike="noStrike" kern="1200" spc="0" baseline="0">
                <a:solidFill>
                  <a:sysClr val="windowText" lastClr="000000">
                    <a:lumOff val="35000"/>
                    <a:lumMod val="65000"/>
                  </a:sysClr>
                </a:solidFill>
                <effectLst/>
                <a:latin typeface="+mn-lt"/>
                <a:ea typeface="+mn-ea"/>
                <a:cs typeface="+mn-cs"/>
              </a:rPr>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'Wordpress Modernization (InActi'!$AL$15:$AL$16</f>
              <strCache>
                <ptCount val="2"/>
                <pt idx="0">
                  <v>QA Passed</v>
                </pt>
                <pt idx="1">
                  <v>Rework</v>
                </pt>
              </strCache>
            </strRef>
          </cat>
          <val>
            <numRef>
              <f>'Wordpress Modernization (InActi'!$AM$15:$AM$16</f>
              <numCache>
                <formatCode>General</formatCode>
                <ptCount val="2"/>
                <pt idx="0">
                  <v>95</v>
                </pt>
                <pt idx="1">
                  <v>7</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'Wordpress Modernization (InActi'!$AI$61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(InActi'!$AI$62:$AI$67</f>
              <numCache>
                <formatCode>General</formatCode>
                <ptCount val="6"/>
                <pt idx="0">
                  <v>2</v>
                </pt>
                <pt idx="1">
                  <v>2</v>
                </pt>
                <pt idx="2">
                  <v>0</v>
                </pt>
                <pt idx="3">
                  <v>3</v>
                </pt>
                <pt idx="4">
                  <v>0</v>
                </pt>
                <pt idx="5">
                  <v>0</v>
                </pt>
              </numCache>
            </numRef>
          </val>
          <smooth val="0"/>
        </ser>
        <ser>
          <idx val="1"/>
          <order val="1"/>
          <tx>
            <strRef>
              <f>'Wordpress Modernization (InActi'!$AJ$61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(InActi'!$AJ$62:$AJ$67</f>
              <numCache>
                <formatCode>General</formatCode>
                <ptCount val="6"/>
                <pt idx="0">
                  <v>10</v>
                </pt>
                <pt idx="1">
                  <v>6</v>
                </pt>
                <pt idx="2">
                  <v>3</v>
                </pt>
                <pt idx="3">
                  <v>5</v>
                </pt>
                <pt idx="4">
                  <v>11</v>
                </pt>
                <pt idx="5">
                  <v>11</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omments/comment1.xml><?xml version="1.0" encoding="utf-8"?>
<comments xmlns="http://schemas.openxmlformats.org/spreadsheetml/2006/main">
  <authors>
    <author>tc={27EA8616-FF90-4520-AA4A-09CACFE8E0D4}</author>
    <author>tc={F389EEE3-45D1-4943-9FF9-FB41EE6751AA}</author>
    <author>tc={EAA0B739-5923-459E-B78F-9AFCFF02BCAA}</author>
    <author>tc={A2634BB7-742A-4DA0-8972-2F04E8C398C1}</author>
    <author>tc={48AC9F8C-C4C0-4C5A-A788-C5D7F53F9CAB}</author>
    <author>tc={C97EC814-AB85-462B-870F-354B11361FDD}</author>
    <author>tc={CC3D4B13-47F7-4CBD-B09F-5B7945D0C66A}</author>
    <author>tc={381A3F12-6D9F-41ED-AD4C-B8252C26BE10}</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List>
</comments>
</file>

<file path=xl/comments/comment2.xml><?xml version="1.0" encoding="utf-8"?>
<comments xmlns="http://schemas.openxmlformats.org/spreadsheetml/2006/main">
  <authors>
    <author>tc={BCEC9C0C-E50C-45DF-9247-3810FEB361CE}</author>
    <author>tc={FE841A3C-87A7-4391-BC83-E133C43F2488}</author>
    <author>tc={75AC3361-8073-4BBE-A38E-F649F0A7F23B}</author>
    <author>tc={B7892B44-6798-4ECC-B14B-4A889E256897}</author>
    <author>tc={4FEA7DBC-3FA2-41D2-8FCA-E04C2EDB2BD1}</author>
    <author>tc={384C6102-26BC-495B-A2CF-0BFCB3D0BF1F}</author>
    <author>tc={08886B16-0A7E-486F-805F-29AA491D7AC3}</author>
    <author>tc={0D862B77-9B21-4380-9161-B370C1A4082C}</author>
    <author>tc={BE7E48AE-6BC6-472C-B321-C169E9B2215E}</author>
    <author>tc={BCAE4544-5FF4-4CF7-84FB-0F770B03207E}</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11" authorId="8" shapeId="0">
      <text>
        <t>[Threaded comment]
Your version of Excel allows you to read this threaded comment; however, any edits to it will get removed if the file is opened in a newer version of Excel. Learn more: https://go.microsoft.com/fwlink/?linkid=870924
Comment:
    Ticket is reopened from PD, There is some changes in other template which is not mentioned in AC
Reply:
    One of the ticket is carry over its related to VP Project and there are multiple changes in single ticket and its a very big ticket. There is no training on VP project. It's my first VP ticket so need to understand the code and also write a test case for each component.</t>
      </text>
    </comment>
    <comment ref="AF13" authorId="9" shapeId="0">
      <text>
        <t>[Threaded comment]
Your version of Excel allows you to read this threaded comment; however, any edits to it will get removed if the file is opened in a newer version of Excel. Learn more: https://go.microsoft.com/fwlink/?linkid=870924
Comment:
    ticket is reopened by reporter accidently during the PD of the ticket</t>
      </text>
    </comment>
  </commentList>
</comments>
</file>

<file path=xl/comments/comment3.xml><?xml version="1.0" encoding="utf-8"?>
<comments xmlns="http://schemas.openxmlformats.org/spreadsheetml/2006/main">
  <authors>
    <author>tc={18D0CF47-7824-4E55-AFD4-7213E30BCBA4}</author>
    <author>tc={E7B646FF-12B0-4AAC-B3B7-4630CC689AC3}</author>
    <author>tc={BDD3BDEC-0B00-4329-9845-53DF723C8BC1}</author>
    <author>tc={C8254847-46DA-43DE-9468-3DA15766A363}</author>
    <author>tc={44708BAD-743D-42A3-BB19-2BF29C29B025}</author>
    <author>tc={41EBCABB-9D75-4E86-961A-B2985E8FBAAD}</author>
    <author>tc={F6B2EF17-398D-4E41-9D31-9B7AE292F5B2}</author>
    <author>tc={AFD2EA59-8684-4D90-AE97-BE8CFACE195C}</author>
    <author>tc={3C83FDCE-757E-4AD1-9A15-A6AAA4DD895D}</author>
    <author>tc={547B55B2-845C-4D39-B7B9-25DA6097BB73}</author>
    <author>tc={6702B181-0A62-43C1-903C-D80816351A87}</author>
    <author>tc={2A2D3900-4AAB-4B84-9FB5-65488B610FD8}</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4.xml><?xml version="1.0" encoding="utf-8"?>
<comments xmlns="http://schemas.openxmlformats.org/spreadsheetml/2006/main">
  <authors>
    <author>tc={DF892654-F6B3-42E0-B018-F3DD04B50E53}</author>
    <author>tc={95B7980C-3856-4381-BAE3-FEA1388CFFCB}</author>
    <author>tc={D7909C00-019A-46E6-8993-BC09E6B5191E}</author>
    <author>tc={1F03D7D5-7CC5-44F1-AAD5-911F94248C59}</author>
    <author>tc={26D9E52B-D379-4582-93D9-573563252B4E}</author>
    <author>tc={93CC3719-39E8-4977-B039-948E41FF6CC6}</author>
    <author>tc={57295561-2C30-4349-8FF1-7B0CEAA26BAF}</author>
    <author>tc={51AF45C8-A374-4AA9-9559-DAA0F87A677E}</author>
    <author>tc={264759F5-ECEB-4D74-977F-EDB563F9AC05}</author>
    <author>tc={D3ABB51C-AD37-451B-BBDE-4FB19C2B109B}</author>
    <author>tc={B96D2E94-6F06-415D-9D65-0015AA9F7D37}</author>
    <author>tc={E3EEB4F2-EE61-4DB9-86FF-53430A796BEF}</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5.xml><?xml version="1.0" encoding="utf-8"?>
<comments xmlns="http://schemas.openxmlformats.org/spreadsheetml/2006/main">
  <authors>
    <author>tc={A15CDAC0-D7EB-45F2-9066-C44D0421F707}</author>
    <author>tc={16AD0D21-BC44-4B95-BC80-992C9CD70237}</author>
    <author>tc={444CD884-84B7-473B-994C-69B3DEAF7485}</author>
    <author>tc={5E31FB22-1698-4ED4-AC1A-F04853B88E52}</author>
    <author>tc={028BF621-9E39-4A95-9ED5-7404732E34E7}</author>
    <author>tc={0C4FE1C9-683A-4C12-8218-F44C977BE37A}</author>
    <author>tc={5A780BB3-02EA-4B9B-8768-3DBFA8B02259}</author>
    <author>tc={CE447660-3E24-4D9C-A5F7-F2AA5612A99B}</author>
    <author>tc={4ABDEB5F-4833-4F55-8779-C30B6191C35D}</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6.xml><?xml version="1.0" encoding="utf-8"?>
<comments xmlns="http://schemas.openxmlformats.org/spreadsheetml/2006/main">
  <authors>
    <author>tc={8A39BCC7-4CEC-4F8D-9BE1-5448C5F8D6AF}</author>
    <author>tc={2A0AAA6E-E8AF-4F71-8208-90A4CA4A175C}</author>
    <author>tc={7718B837-0913-4702-AC82-785B29062C4B}</author>
    <author>tc={7BA6AF89-9DE0-4F9E-8D3B-B9020402C981}</author>
    <author>tc={375FE2EE-722E-4D2F-8F67-AC3198BA3049}</author>
    <author>tc={D816A0E2-B96E-484F-BF1F-9C8E8F0C8899}</author>
    <author>tc={DE8A4504-918D-4106-92CB-9AE37702BF59}</author>
    <author>tc={E3C622F0-8187-45F2-854C-41D12778422E}</author>
    <author>tc={3300EAB2-0A4B-4532-8077-5DC27DB3E16F}</author>
    <author>tc={8DEA6E94-8E8A-440D-B757-5777F9FDC8BC}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9" authorId="9" shapeId="0">
      <text>
        <t xml:space="preserve">[Threaded comment]
Your version of Excel allows you to read this threaded comment; however, any edits to it will get removed if the file is opened in a newer version of Excel. Learn more: https://go.microsoft.com/fwlink/?linkid=870924
Comment:
    V2 carryover is increased due to Christmas vacations team members were on leave. </t>
      </text>
    </comment>
  </commentList>
</comments>
</file>

<file path=xl/comments/comment7.xml><?xml version="1.0" encoding="utf-8"?>
<comments xmlns="http://schemas.openxmlformats.org/spreadsheetml/2006/main">
  <authors>
    <author>tc={90BBD4D6-06E6-4481-84FD-1D5FEF4C4674}</author>
    <author>tc={09B423F6-11B4-4BAE-9E3C-4F9D9CFEE19F}</author>
    <author>tc={830F0EDD-6F11-4362-A501-FB920E4DA488}</author>
    <author>tc={19D6A546-2BA9-4E53-B792-9B0BF1557AD9}</author>
    <author>tc={843F8BD9-7CED-40DF-BBFA-EF861029D4AE}</author>
    <author>tc={68B83727-400D-4F6B-BCAD-DE27E6831F33}</author>
    <author>tc={C5BBFBDD-1759-4FCE-A574-446E41C36F67}</author>
    <author>tc={41A18DD8-039E-46D4-8A27-518FF236A6F6}</author>
    <author>tc={1F805F1D-666B-4DEF-896B-2DE07B8ED128}</author>
    <author>tc={17804886-3BEE-4C81-8CA1-F6C1408B546F}</author>
    <author>tc={6E5FDFC6-97D1-407A-A6FB-5E987CEFFC13}</author>
    <author>tc={0EAEBD04-ED9A-4211-936A-354A75044E08}</author>
    <author>tc={E2CE6B14-3CED-4703-9891-818425B23D4F}</author>
    <author>tc={ECB8F470-B9F4-4D54-9C7A-8364402CBA33}</author>
    <author>tc={6EE88E34-3F07-400C-90EE-A09B003A1E72}</author>
    <author>tc={96774F2A-9380-4B8B-9213-89E0B701D265}</author>
    <author>tc={EB7F9E33-5447-49CF-8EF4-773DC0EA3284}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Story Points Reopen by V2.</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Story Points Carryover by V2.</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T10" authorId="10" shapeId="0">
      <text>
        <t xml:space="preserve">[Threaded comment]
Your version of Excel allows you to read this threaded comment; however, any edits to it will get removed if the file is opened in a newer version of Excel. Learn more: https://go.microsoft.com/fwlink/?linkid=870924
Comment:
    @Disha Rai Please add sprint data for June, July, Aih 2022 montths CC: @Mamatha Joshi
Reply:
    Done
</t>
      </text>
    </comment>
    <comment ref="I13" authorId="11" shapeId="0">
      <text>
        <t>[Threaded comment]
Your version of Excel allows you to read this threaded comment; however, any edits to it will get removed if the file is opened in a newer version of Excel. Learn more: https://go.microsoft.com/fwlink/?linkid=870924
Comment:
    Babitha is added as a buffer resource.</t>
      </text>
    </comment>
    <comment ref="AA13" authorId="12" shapeId="0">
      <text>
        <t xml:space="preserve">[Threaded comment]
Your version of Excel allows you to read this threaded comment; however, any edits to it will get removed if the file is opened in a newer version of Excel. Learn more: https://go.microsoft.com/fwlink/?linkid=870924
Comment:
    Issue added after current sprint task was done
</t>
      </text>
    </comment>
    <comment ref="AA15" authorId="13" shapeId="0">
      <text>
        <t xml:space="preserve">[Threaded comment]
Your version of Excel allows you to read this threaded comment; however, any edits to it will get removed if the file is opened in a newer version of Excel. Learn more: https://go.microsoft.com/fwlink/?linkid=870924
Comment:
    Waited for couple of days for code review
from Lew
</t>
      </text>
    </comment>
    <comment ref="AA16" authorId="14" shapeId="0">
      <text>
        <t>[Threaded comment]
Your version of Excel allows you to read this threaded comment; however, any edits to it will get removed if the file is opened in a newer version of Excel. Learn more: https://go.microsoft.com/fwlink/?linkid=870924
Comment:
    CS-526 - Was added at last day of sprint as current work was done.
CS-34 - Was blocked as the last build pushed was not being installed</t>
      </text>
    </comment>
    <comment ref="AD17" authorId="15" shapeId="0">
      <text>
        <t xml:space="preserve">[Threaded comment]
Your version of Excel allows you to read this threaded comment; however, any edits to it will get removed if the file is opened in a newer version of Excel. Learn more: https://go.microsoft.com/fwlink/?linkid=870924
Comment:
    Dynamic data was not fit in given modal size and was on leave so it got reopened. </t>
      </text>
    </comment>
    <comment ref="AA18" authorId="16" shapeId="0">
      <text>
        <t>[Threaded comment]
Your version of Excel allows you to read this threaded comment; however, any edits to it will get removed if the file is opened in a newer version of Excel. Learn more: https://go.microsoft.com/fwlink/?linkid=870924
Comment:
    CS-6380- Got carried over as Mark was on leave and ticket was waiting for UAT.
CS-518: Was added on last day of sprint as additional ticket</t>
      </text>
    </comment>
  </commentList>
</comments>
</file>

<file path=xl/comments/comment8.xml><?xml version="1.0" encoding="utf-8"?>
<comments xmlns="http://schemas.openxmlformats.org/spreadsheetml/2006/main">
  <authors>
    <author>tc={A953908A-FC3B-49AA-BE73-EF21DB86D498}</author>
    <author>tc={345946D2-423B-47E1-B384-6466032EF9F2}</author>
    <author>tc={A2CF0C16-2075-45D9-8B50-FFF188798562}</author>
    <author>tc={4BC0CE56-0855-4F1D-A867-1B716630B31D}</author>
    <author>tc={EBACCA64-5681-4EFF-BE93-81FA542EE015}</author>
    <author>tc={82F4C050-6595-4FF2-9E87-98985E178178}</author>
    <author>tc={3F11E5BF-700A-4169-A26A-05749238085C}</author>
    <author>tc={A9F0C720-E67F-411A-91AD-A14B7B727743}</author>
    <author>tc={7B1AFE8E-D264-45E7-9386-B80EF68835C6}</author>
    <author>tc={03147CEA-AAB0-42D7-A9A6-F5A6308E0E49}</author>
    <author>tc={98CDD6C5-0517-4AB7-B8B6-BB3FFCAB7BCC}</author>
    <author>tc={C398A2C1-262F-465E-A7F8-4D2BC310A312}</author>
    <author>tc={9A140927-1A61-4405-81F6-CD413900FE81}</author>
    <author>tc={FB2B8480-9B44-475F-8D96-9A0E6D379E3B}</author>
    <author>tc={869D1D20-091F-406B-B049-1921BE1AEC0A}</author>
    <author>tc={54AF06A0-1BA6-434A-A383-2B797383563E}</author>
    <author>tc={ED781A9F-A054-4678-AC3A-2307916D068F}</author>
    <author>tc={73EECEE1-64DA-4DBE-92AD-20096E24443B}</author>
    <author>tc={E06051EB-5EC9-4013-B5AB-6AE125D38508}</author>
    <author>tc={40235E07-1A18-4630-BBB2-296EBB2DEE87}</author>
    <author>tc={0894AF78-EB31-47CA-B467-9D3AB2C86F8F}</author>
    <author>tc={54C7FBD6-3BC6-4B6E-AD3F-E5BFE3A813AF}</author>
    <author>tc={AD66D31C-A8CE-48CD-AFC8-41043B9C473F}</author>
  </authors>
  <commentList>
    <comment ref="T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W4" authorId="14"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F4" authorId="15"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W5" authorId="16"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D5" authorId="17" shapeId="0">
      <text>
        <t>[Threaded comment]
Your version of Excel allows you to read this threaded comment; however, any edits to it will get removed if the file is opened in a newer version of Excel. Learn more: https://go.microsoft.com/fwlink/?linkid=870924
Comment:
    - Change in requirement as this is new project
- Complex functionality</t>
      </text>
    </comment>
    <comment ref="AF5" authorId="18"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I13" authorId="19"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 ref="AF14" authorId="20" shapeId="0">
      <text>
        <t>[Threaded comment]
Your version of Excel allows you to read this threaded comment; however, any edits to it will get removed if the file is opened in a newer version of Excel. Learn more: https://go.microsoft.com/fwlink/?linkid=870924
Comment:
    Prasad was on leave and Goutham took some of his tickets.</t>
      </text>
    </comment>
    <comment ref="AF15" authorId="21" shapeId="0">
      <text>
        <t>[Threaded comment]
Your version of Excel allows you to read this threaded comment; however, any edits to it will get removed if the file is opened in a newer version of Excel. Learn more: https://go.microsoft.com/fwlink/?linkid=870924
Comment:
    Prasad moved out and Subha added in the team as a new member.</t>
      </text>
    </comment>
    <comment ref="AD16" authorId="22" shapeId="0">
      <text>
        <t>[Threaded comment]
Your version of Excel allows you to read this threaded comment; however, any edits to it will get removed if the file is opened in a newer version of Excel. Learn more: https://go.microsoft.com/fwlink/?linkid=870924
Comment:
    New feature which is why the requirements was changing.</t>
      </text>
    </comment>
  </commentList>
</comments>
</file>

<file path=xl/comments/comment9.xml><?xml version="1.0" encoding="utf-8"?>
<comments xmlns="http://schemas.openxmlformats.org/spreadsheetml/2006/main">
  <authors>
    <author>tc={17B5DC36-4FF1-4AF2-BBA8-6C47687E60B7}</author>
    <author>tc={FDC71E29-14D0-4F20-A1AE-EB9185330560}</author>
    <author>tc={B4EA2C2D-CC00-481D-9862-504031B7354B}</author>
    <author>tc={2E77DB5A-D562-4990-822F-4E7123112668}</author>
    <author>tc={6582D43F-0D54-4D09-92EC-B0F4DCD80B85}</author>
    <author>tc={7EDD39D7-8986-4DD4-86B6-ED635D681324}</author>
    <author>tc={324C95DC-D619-49D1-BB07-283DDAF0EDEF}</author>
    <author>tc={59052AB3-367C-4DD4-86EB-D352555413A8}</author>
    <author>tc={C1C1E6B7-558F-4863-94AD-D5016190AE41}</author>
    <author>tc={FF0711D7-413A-4105-B4A7-AD247E5FABA4}</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54" authorId="9" shapeId="0">
      <text>
        <t>[Threaded comment]
Your version of Excel allows you to read this threaded comment; however, any edits to it will get removed if the file is opened in a newer version of Excel. Learn more: https://go.microsoft.com/fwlink/?linkid=870924
Comment:
    Invalid re-open</t>
      </text>
    </comment>
  </commentList>
</comments>
</file>

<file path=xl/comments/comment10.xml><?xml version="1.0" encoding="utf-8"?>
<comments xmlns="http://schemas.openxmlformats.org/spreadsheetml/2006/main">
  <authors>
    <author>tc={497AE3C1-AB92-415E-838F-A353E329544B}</author>
    <author>tc={B1E58C6D-41A7-4350-AA59-0B980DE2A46F}</author>
    <author>tc={DC405156-E253-45F6-B491-FF76D13D092E}</author>
    <author>tc={38E61EA2-3C49-4821-8438-24254AA75086}</author>
    <author>tc={DC0EB526-53AF-4F7F-909B-97270CB0C809}</author>
    <author>tc={4F7B5F27-C0F3-4D71-B1BB-5F571E84D8A8}</author>
    <author>tc={3A85A49A-C342-4488-80FC-D70EB44F9176}</author>
    <author>tc={781972C8-A229-4A88-93FF-A5A8AEE5C08D}</author>
    <author>tc={C479B9DB-9526-4C83-893E-7D07C1033E8B}</author>
    <author>tc={04D3592B-6734-49AF-AD18-2C2365A89623}</author>
    <author>tc={D54E408C-3B04-4627-99D5-2281C43B35DE}</author>
    <author>tc={3C2EF8EE-EBB1-4C55-9367-8CA16043B097}</author>
    <author>tc={F7EE453E-04E8-4D49-9720-B55B615A428C}</author>
    <author>tc={0446988E-57D3-4AED-9A19-E21DA8D77AC4}</author>
    <author>tc={A149D760-67F4-47DC-88E5-28223A5A9AA2}</author>
    <author>tc={BC833FC7-68AE-4E04-8E41-2CA00CFD9704}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F3" authorId="14"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 ref="AF8" authorId="15"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List>
</comments>
</file>

<file path=xl/comments/comment11.xml><?xml version="1.0" encoding="utf-8"?>
<comments xmlns="http://schemas.openxmlformats.org/spreadsheetml/2006/main">
  <authors>
    <author>tc={A7D8C16D-6633-4A55-988D-1699B4CFD1E0}</author>
    <author>tc={FB29B5F3-0028-42F3-853C-BA031A0D2135}</author>
    <author>tc={A3F5C016-49E4-4881-A41B-D10E58F392CE}</author>
    <author>tc={5C4164E5-131E-4E51-9C75-706E3AA8696D}</author>
    <author>tc={A8C8101B-1F64-4879-8A44-B453DA02D697}</author>
    <author>tc={157B8B43-5284-47D4-B4F5-9BA8BCBB27E5}</author>
    <author>tc={CE22921E-E397-41B0-80E2-303A008DE039}</author>
    <author>tc={C418B06D-5D9D-4056-99DA-509173914FEA}</author>
    <author>tc={BCF6D505-EA00-45F5-8675-73057820F104}</author>
    <author>tc={A3FDB0B8-5C80-4393-8F87-E6AB4A4F9DDB}</author>
    <author>tc={3F528062-C97E-401D-932C-2C0FF3231006}</author>
    <author>tc={69059AA0-15BC-4374-8DAD-EF884A219E7C}</author>
    <author>tc={DF543C29-1C6A-4635-B63E-35288BC19FD0}</author>
    <author>tc={9209B347-3F0D-4B2B-A0BA-C252E908BDAF}</author>
    <author>tc={696C5582-618E-45FE-B069-6EB5F5947105}</author>
    <author>tc={3E86BBED-D811-4E0C-8439-8195C9C0409E}</author>
    <author>tc={011987B0-8BD7-43DA-B7A0-FF075F307346}</author>
    <author>tc={C0BDDAD7-3496-4C7C-853E-85C97C09550A}</author>
    <author>tc={053B6D7D-368F-48F7-928F-80D39F69827C}</author>
    <author>tc={F717DCB0-54FA-479D-8585-4442FC5B95E3}</author>
    <author>tc={09E62E35-2ABB-40D1-B5DC-91AC8A593AD6}</author>
    <author>tc={2EC650DB-DEB7-4B1B-AEF1-36373109A74E}</author>
    <author>tc={99CDC47F-CDF6-4F2E-9910-CF7869D92A16}</author>
    <author>tc={0FBECD05-8713-439A-99B3-7F2DE01725E7}</author>
    <author>tc={49383CB8-7800-4446-8157-4A6D0D632DD7}</author>
    <author>tc={273F3CC6-1BAA-47F7-A6BB-B723186C8B64}</author>
    <author>tc={6FBAD54A-0216-46CA-A122-3FF962B03DC3}</author>
    <author>tc={449C43E1-924D-49FA-AC2B-A36F8EE59419}</author>
    <author>tc={F00FA84A-3D01-4ED1-9CA2-B78E24D82491}</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U2" authorId="14" shapeId="0">
      <text>
        <t>[Threaded comment]
Your version of Excel allows you to read this threaded comment; however, any edits to it will get removed if the file is opened in a newer version of Excel. Learn more: https://go.microsoft.com/fwlink/?linkid=870924
Comment:
    Due to dependency on DB schema and store procedures.</t>
      </text>
    </comment>
    <comment ref="AE2" authorId="15"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F2" authorId="16"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G2" authorId="17"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Z4" authorId="18"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E4" authorId="19"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G4" authorId="20"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U5" authorId="21"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C5" authorId="22"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D5" authorId="23"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E5" authorId="24"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F5" authorId="25"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G5" authorId="26"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U6" authorId="27"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E16" authorId="28" shapeId="0">
      <text>
        <t>[Threaded comment]
Your version of Excel allows you to read this threaded comment; however, any edits to it will get removed if the file is opened in a newer version of Excel. Learn more: https://go.microsoft.com/fwlink/?linkid=870924
Comment:
    1. CDR-204 - Got carryforward as UAT was not available because of leave
2. CDR-216 - Waiting for SP (CDR-231) changes as DB was not available because of leave</t>
      </text>
    </comment>
  </commentList>
</comments>
</file>

<file path=xl/comments/comment12.xml><?xml version="1.0" encoding="utf-8"?>
<comments xmlns="http://schemas.openxmlformats.org/spreadsheetml/2006/main">
  <authors>
    <author>tc={E07B0DB4-980B-49F7-8D9A-28EB58BAC219}</author>
    <author>tc={1F93B1EA-09CD-49A1-91FD-DF0E3BD0D747}</author>
    <author>tc={8210AF90-E283-4B6E-89D9-6B51F79573B8}</author>
    <author>tc={4D7291D0-40E3-44A3-AD68-3C4190C62FFA}</author>
    <author>tc={A11D3245-21B5-4BC6-A5E7-BFCA414A2609}</author>
    <author>tc={9B0363BA-0EE6-4642-937D-070DE2F541FD}</author>
    <author>tc={B0E74A48-6D09-44A9-B397-625B37B01752}</author>
    <author>tc={B89BF5D6-47C1-40EC-9E9E-3A4261DC99F0}</author>
    <author>tc={24516775-594C-4BF3-BBF3-B10CF75974AA}</author>
    <author>tc={FA4039B3-0E77-47A9-97D0-C63EA055F1FB}</author>
    <author>tc={3D0E7C25-50DF-4108-947B-043E8BBA721E}</author>
    <author>tc={3853EFEB-5FA0-4283-A63D-B08A16375C44}</author>
    <author>tc={E0CAC91F-6700-4A03-B082-CCF6A6ECBEB2}</author>
    <author>tc={4E57FAFF-64BC-4540-B325-CF33AB249FC7}</author>
    <author>tc={A2CA19A0-7574-4729-A8AB-36506F656407}</author>
    <author>tc={D4F5F053-3CCB-4D18-8D46-4C820A6977E2}</author>
    <author>tc={7E306D30-233E-404C-9D95-713557D18ED3}</author>
    <author>tc={3D0CC807-EF5A-4637-A854-67429FD3939F}</author>
    <author>tc={24D5AEA7-CE72-44B0-8CF9-E3BB2E0B3AFF}</author>
    <author>tc={AB264D9B-F3C1-4787-A1DA-7BE493501B94}</author>
    <author>tc={81F70185-4A2C-4C4A-A159-A17462FBD378}</author>
    <author>tc={77B4DA74-54A5-43F5-B6E7-43EA1F483EF2}</author>
    <author>tc={B6ED6223-BD31-407A-BAD6-3D1FB9F3E11F}</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V22" authorId="9" shapeId="0">
      <text>
        <t xml:space="preserve">[Threaded comment]
Your version of Excel allows you to read this threaded comment; however, any edits to it will get removed if the file is opened in a newer version of Excel. Learn more: https://go.microsoft.com/fwlink/?linkid=870924
Comment:
    4 tickets added after sprint started. 2698, 2712 are two tickets which had 2 story points each. Rest of the tickets were 0 story points. </t>
      </text>
    </comment>
    <comment ref="V23" authorId="10" shapeId="0">
      <text>
        <t>[Threaded comment]
Your version of Excel allows you to read this threaded comment; however, any edits to it will get removed if the file is opened in a newer version of Excel. Learn more: https://go.microsoft.com/fwlink/?linkid=870924
Comment:
    Bug SNAP-2781 is added later in Sprint which had 1 story point</t>
      </text>
    </comment>
    <comment ref="V24" authorId="11" shapeId="0">
      <text>
        <t>[Threaded comment]
Your version of Excel allows you to read this threaded comment; however, any edits to it will get removed if the file is opened in a newer version of Excel. Learn more: https://go.microsoft.com/fwlink/?linkid=870924
Comment:
    2842, 2860, 2867 added later in the sprint.</t>
      </text>
    </comment>
    <comment ref="AA24" authorId="12" shapeId="0">
      <text>
        <t>[Threaded comment]
Your version of Excel allows you to read this threaded comment; however, any edits to it will get removed if the file is opened in a newer version of Excel. Learn more: https://go.microsoft.com/fwlink/?linkid=870924
Comment:
    SNAP-2532: Blocked due to issue in equifax api</t>
      </text>
    </comment>
    <comment ref="V25" authorId="13" shapeId="0">
      <text>
        <t>[Threaded comment]
Your version of Excel allows you to read this threaded comment; however, any edits to it will get removed if the file is opened in a newer version of Excel. Learn more: https://go.microsoft.com/fwlink/?linkid=870924
Comment:
    Several bugs, story tickets added sprint later. I dont remember now why we did that. It could dev might have finished the work on some tickets out of the sprint.</t>
      </text>
    </comment>
    <comment ref="Y25" authorId="14" shapeId="0">
      <text>
        <t>[Threaded comment]
Your version of Excel allows you to read this threaded comment; however, any edits to it will get removed if the file is opened in a newer version of Excel. Learn more: https://go.microsoft.com/fwlink/?linkid=870924
Comment:
    SNAP-2721 : Reopened due to change request</t>
      </text>
    </comment>
    <comment ref="V26" authorId="15" shapeId="0">
      <text>
        <t xml:space="preserve">[Threaded comment]
Your version of Excel allows you to read this threaded comment; however, any edits to it will get removed if the file is opened in a newer version of Excel. Learn more: https://go.microsoft.com/fwlink/?linkid=870924
Comment:
    2962, 2964, 2968 are added later to sprint because Dev have capacity to complete more work. </t>
      </text>
    </comment>
    <comment ref="V27" authorId="16" shapeId="0">
      <text>
        <t xml:space="preserve">[Threaded comment]
Your version of Excel allows you to read this threaded comment; however, any edits to it will get removed if the file is opened in a newer version of Excel. Learn more: https://go.microsoft.com/fwlink/?linkid=870924
Comment:
    2987, 2996 added later because dev has capacity to do more work. </t>
      </text>
    </comment>
    <comment ref="V28" authorId="17" shapeId="0">
      <text>
        <t xml:space="preserve">[Threaded comment]
Your version of Excel allows you to read this threaded comment; however, any edits to it will get removed if the file is opened in a newer version of Excel. Learn more: https://go.microsoft.com/fwlink/?linkid=870924
Comment:
    Two Prod bugs and one story ticket is added later
</t>
      </text>
    </comment>
    <comment ref="AA30" authorId="18" shapeId="0">
      <text>
        <t xml:space="preserve">[Threaded comment]
Your version of Excel allows you to read this threaded comment; however, any edits to it will get removed if the file is opened in a newer version of Excel. Learn more: https://go.microsoft.com/fwlink/?linkid=870924
Comment:
    Tickets were blocked due to no response from the Lender on issues faced during the development. 
</t>
      </text>
    </comment>
    <comment ref="AB30" authorId="19" shapeId="0">
      <text>
        <t xml:space="preserve">[Threaded comment]
Your version of Excel allows you to read this threaded comment; however, any edits to it will get removed if the file is opened in a newer version of Excel. Learn more: https://go.microsoft.com/fwlink/?linkid=870924
Comment:
    Two tickets were blocked due to dependency on another projects.
One ticket has bug and reopened on last day. </t>
      </text>
    </comment>
    <comment ref="Y31" authorId="20" shapeId="0">
      <text>
        <t>[Threaded comment]
Your version of Excel allows you to read this threaded comment; however, any edits to it will get removed if the file is opened in a newer version of Excel. Learn more: https://go.microsoft.com/fwlink/?linkid=870924
Comment:
    SNAP-3087: One issue wasn't code related and another sub task is moved out from the this story ticket. 
SNAP-3069: Change request.</t>
      </text>
    </comment>
    <comment ref="AB31" authorId="21" shapeId="0">
      <text>
        <t xml:space="preserve">[Threaded comment]
Your version of Excel allows you to read this threaded comment; however, any edits to it will get removed if the file is opened in a newer version of Excel. Learn more: https://go.microsoft.com/fwlink/?linkid=870924
Comment:
    SNAP-2541: Blocked due to delay in response from Experian credit pull service customer care. 
</t>
      </text>
    </comment>
    <comment ref="Y38" authorId="22" shapeId="0">
      <text>
        <t>[Threaded comment]
Your version of Excel allows you to read this threaded comment; however, any edits to it will get removed if the file is opened in a newer version of Excel. Learn more: https://go.microsoft.com/fwlink/?linkid=870924
Comment:
    SNAP-3317 : SNAP-3336 - Phoneix updated industry names (Change Request - No one update to us)</t>
      </text>
    </comment>
  </commentList>
</comments>
</file>

<file path=xl/comments/comment13.xml><?xml version="1.0" encoding="utf-8"?>
<comments xmlns="http://schemas.openxmlformats.org/spreadsheetml/2006/main">
  <authors>
    <author>tc={089CE4E5-B1E3-4EFE-996A-293D80367FAA}</author>
    <author>tc={2A95A857-CEA4-4B92-B5F7-0D4552244CB1}</author>
    <author>tc={E3F5C718-E5BB-4710-8B8F-50CEDFA46D25}</author>
    <author>tc={8D59CDA0-3BA4-45BC-A118-58E8802FB170}</author>
    <author>tc={5EDD9F62-9D19-46C3-9071-C35BB903C441}</author>
    <author>tc={E5531EF3-D980-4D8A-AC94-AFECE7947F7A}</author>
    <author>tc={15898289-BBE7-4383-AC6E-DB5D4F137C33}</author>
    <author>tc={DE77372B-39AD-47D0-B1C6-5D0935E28944}</author>
    <author>tc={DC5DBB02-90D5-4A4F-B508-42232BF45E5C}</author>
    <author>tc={7A5CBE22-E7BF-4E5F-9114-A688AE30FCD0}</author>
    <author>tc={F9C06B2D-8A13-4A7E-A1CA-C88B67FF7C81}</author>
    <author>tc={F6853B48-878A-438A-B691-AB00C7A7EDA9}</author>
    <author>tc={5C5B26A1-499D-41B5-88B3-5D64B0382A15}</author>
    <author>tc={E49B8E24-F5E5-4231-A359-42B960A3206C}</author>
    <author>tc={AAB25D6F-6DD6-41C0-B84E-4A7A81DC51A3}</author>
    <author>tc={377FC759-37AD-43FE-A73F-648DEFDE6DE4}</author>
    <author>tc={73A38D6A-126C-4220-8C3C-6053AF4465CB}</author>
    <author>tc={7EEFA44C-D8B9-4EE0-8FAB-2FFAEB77931B}</author>
    <author>tc={BC2FEC89-E182-4591-A46C-DF648993A889}</author>
    <author>tc={5295A7FD-7086-4FDB-9CF5-31C05FC34D78}</author>
    <author>tc={AB1CE790-7914-429C-880D-555D6783BB1C}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C25" authorId="14"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
New developer getting upto the speed.</t>
      </text>
    </comment>
    <comment ref="AC26" authorId="15"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t>
      </text>
    </comment>
    <comment ref="AC30" authorId="16" shapeId="0">
      <text>
        <t>[Threaded comment]
Your version of Excel allows you to read this threaded comment; however, any edits to it will get removed if the file is opened in a newer version of Excel. Learn more: https://go.microsoft.com/fwlink/?linkid=870924
Comment:
    .Net core framework upgrade from 2.2 to 3.1 in UI and API
Dependency with the OTA team for pipeline changes with .net upgrade changes</t>
      </text>
    </comment>
    <comment ref="AC31" authorId="17" shapeId="0">
      <text>
        <t>[Threaded comment]
Your version of Excel allows you to read this threaded comment; however, any edits to it will get removed if the file is opened in a newer version of Excel. Learn more: https://go.microsoft.com/fwlink/?linkid=870924
Comment:
    LONB-1863 - merging issue on stage
LONB-1769 - Scope Change
LONB-1771 - Reopened by Hanuman, as tester don't have bandwidth to test and got moved to next sprint to test</t>
      </text>
    </comment>
    <comment ref="AE31" authorId="18" shapeId="0">
      <text>
        <t>[Threaded comment]
Your version of Excel allows you to read this threaded comment; however, any edits to it will get removed if the file is opened in a newer version of Excel. Learn more: https://go.microsoft.com/fwlink/?linkid=870924
Comment:
    9 story points is in UAT, for which  doesn't have enough bandwidth to verify
3 story points is Testing even after 3 days
5 points are in dev complete as tester doesn't have enough bandwidth to test so kept in dev complete</t>
      </text>
    </comment>
    <comment ref="AE33" authorId="19"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 ref="AG33" authorId="20"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List>
</comments>
</file>

<file path=xl/comments/comment14.xml><?xml version="1.0" encoding="utf-8"?>
<comments xmlns="http://schemas.openxmlformats.org/spreadsheetml/2006/main">
  <authors>
    <author>tc={DD65345A-2034-4DA3-A19F-2DD4EF7101B6}</author>
    <author>tc={C3D575E0-3208-4A6F-A796-B63F9E5F8B63}</author>
    <author>tc={E204AAE6-4AC9-4125-BB60-267DEA08DCF7}</author>
    <author>tc={74485AAD-ADF3-48AA-BD82-7A030D6B6160}</author>
    <author>tc={75577794-762C-42C4-9232-74D2B6C224B7}</author>
    <author>tc={13D2B6D6-FEEC-4FAC-A338-36144ECF08F6}</author>
    <author>tc={E7674267-4DB4-4A83-B5A3-CC63FCE5453F}</author>
    <author>tc={0F4BA7CC-F7CF-4185-A6C2-73008EACF999}</author>
    <author>tc={D23A737E-B920-4BE6-A0EE-2FFE4FB1706B}</author>
    <author>tc={F57A9861-8DE8-48B6-B70C-33E409051889}</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A10" authorId="9" shapeId="0">
      <text>
        <t>[Threaded comment]
Your version of Excel allows you to read this threaded comment; however, any edits to it will get removed if the file is opened in a newer version of Excel. Learn more: https://go.microsoft.com/fwlink/?linkid=870924
Comment:
    Tickets are in TESTING Bucket</t>
      </text>
    </comment>
  </commentList>
</comments>
</file>

<file path=xl/comments/comment15.xml><?xml version="1.0" encoding="utf-8"?>
<comments xmlns="http://schemas.openxmlformats.org/spreadsheetml/2006/main">
  <authors>
    <author>tc={6220A5FE-EA47-4066-8445-C9DE75D4EC81}</author>
    <author>tc={0B379A22-3D67-4C76-9871-C565A1039621}</author>
    <author>tc={0DB831B7-7E2F-4D39-99ED-01DAE48ADABA}</author>
    <author>tc={836AEE7C-30A7-4138-B7D5-EA0D03F154D8}</author>
    <author>tc={D6E232A0-6960-46DA-A112-CC645E4A2DDB}</author>
    <author>tc={D44967FD-9B2E-492F-86F8-7AC4A5CA36FC}</author>
    <author>tc={E8E4850F-9FBF-4549-B240-4D1BE63E5194}</author>
    <author>tc={8050512C-850D-496C-9D38-ED6F6C055848}</author>
    <author>tc={3258349E-1FB9-4C42-A704-B3E272B58A80}</author>
    <author>tc={90B272D3-1CAE-4B12-B619-A0CB6A832873}</author>
    <author>tc={1464626A-2D61-4D12-BE94-4E643CBCD116}</author>
    <author>tc={163FCBF2-4B53-4CB8-890C-6920C5D3E69B}</author>
    <author>tc={232E4E89-9142-4182-ADE0-A67DF319592F}</author>
    <author>tc={92572B32-2737-4EF9-A8C5-9ECF4FE309BC}</author>
    <author>tc={FA3ADD85-DE73-4ED5-928C-21E9DD5BBC5B}</author>
  </authors>
  <commentList>
    <comment ref="R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S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B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C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D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E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I13" authorId="14"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List>
</comments>
</file>

<file path=xl/comments/comment16.xml><?xml version="1.0" encoding="utf-8"?>
<comments xmlns="http://schemas.openxmlformats.org/spreadsheetml/2006/main">
  <authors>
    <author>tc={21CEB651-DCAD-48A6-B7D0-6A279A499A4B}</author>
    <author>tc={FFAD0386-9469-4F63-8F83-F46378AF1047}</author>
    <author>tc={E8AA658C-D7CC-4E7B-AAB6-0D82F833CC69}</author>
    <author>tc={32465F4D-513B-4EB4-81FC-1BD7EA272A36}</author>
    <author>tc={E6C4E8B8-C866-4E44-8D7A-3EEC1DEAEAF6}</author>
    <author>tc={393DBF7F-AEE5-4C83-B711-A64E421CB4B9}</author>
    <author>tc={DF740A53-6332-4ECC-80E9-AA1D74F6CC0C}</author>
    <author>tc={5B2626EE-BCB8-4C73-AAD7-1AE2A99FAB9F}</author>
    <author>tc={3863F218-C3B4-4842-BB24-8CA78E3B4A7F}</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17.xml><?xml version="1.0" encoding="utf-8"?>
<comments xmlns="http://schemas.openxmlformats.org/spreadsheetml/2006/main">
  <authors>
    <author>tc={0DC8ED2A-C0AC-420C-A775-2DCEA7422BF2}</author>
    <author>tc={4D7142DB-5DC0-450A-910E-EA774CD836A7}</author>
    <author>tc={8F4EC2A8-F5FF-4FF4-947A-93D197730A6C}</author>
    <author>tc={C52AB8B7-2392-49C3-B92F-6221B3467AB7}</author>
    <author>tc={2EA2A302-CBD0-489E-8EE5-1A0BE50DD36D}</author>
    <author>tc={26B8C5B2-9F57-41A9-BD07-D80F78676DDE}</author>
    <author>tc={9F9CE394-C76B-4593-8DE5-578DD94F095B}</author>
    <author>tc={318830DB-0DFC-4A7A-ADF2-A8831925DE79}</author>
    <author>tc={E1D8BA99-F60C-4E2C-AC1D-C85B646F57BA}</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U40" authorId="7" shapeId="0">
      <text>
        <t>[Threaded comment]
Your version of Excel allows you to read this threaded comment; however, any edits to it will get removed if the file is opened in a newer version of Excel. Learn more: https://go.microsoft.com/fwlink/?linkid=870924
Comment:
    Less tickets because the team is transitioning from the WPM to the WPML board, and the Scrum team has instructed not to start any new tickets during this period.</t>
      </text>
    </comment>
    <comment ref="U41" authorId="8" shapeId="0">
      <text>
        <t>[Threaded comment]
Your version of Excel allows you to read this threaded comment; however, any edits to it will get removed if the file is opened in a newer version of Excel. Learn more: https://go.microsoft.com/fwlink/?linkid=870924
Comment:
    3 Dev from V2 and 1 from LT side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_rels/drawing2.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 Type="http://schemas.openxmlformats.org/officeDocument/2006/relationships/chart" Target="/xl/charts/chart10.xml" Id="rId4"/><Relationship Type="http://schemas.openxmlformats.org/officeDocument/2006/relationships/chart" Target="/xl/charts/chart11.xml" Id="rId5"/><Relationship Type="http://schemas.openxmlformats.org/officeDocument/2006/relationships/chart" Target="/xl/charts/chart12.xml" Id="rId6"/><Relationship Type="http://schemas.openxmlformats.org/officeDocument/2006/relationships/chart" Target="/xl/charts/chart13.xml" Id="rId7"/></Relationships>
</file>

<file path=xl/drawings/_rels/drawing3.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chart" Target="/xl/charts/chart17.xml" Id="rId4"/><Relationship Type="http://schemas.openxmlformats.org/officeDocument/2006/relationships/chart" Target="/xl/charts/chart18.xml" Id="rId5"/><Relationship Type="http://schemas.openxmlformats.org/officeDocument/2006/relationships/chart" Target="/xl/charts/chart19.xml" Id="rId6"/><Relationship Type="http://schemas.openxmlformats.org/officeDocument/2006/relationships/chart" Target="/xl/charts/chart20.xml" Id="rId7"/></Relationships>
</file>

<file path=xl/drawings/_rels/drawing4.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 Type="http://schemas.openxmlformats.org/officeDocument/2006/relationships/chart" Target="/xl/charts/chart23.xml" Id="rId3"/><Relationship Type="http://schemas.openxmlformats.org/officeDocument/2006/relationships/chart" Target="/xl/charts/chart24.xml" Id="rId4"/><Relationship Type="http://schemas.openxmlformats.org/officeDocument/2006/relationships/chart" Target="/xl/charts/chart25.xml" Id="rId5"/><Relationship Type="http://schemas.openxmlformats.org/officeDocument/2006/relationships/chart" Target="/xl/charts/chart26.xml" Id="rId6"/><Relationship Type="http://schemas.openxmlformats.org/officeDocument/2006/relationships/chart" Target="/xl/charts/chart27.xml" Id="rId7"/></Relationships>
</file>

<file path=xl/drawings/_rels/drawing5.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 Type="http://schemas.openxmlformats.org/officeDocument/2006/relationships/chart" Target="/xl/charts/chart33.xml" Id="rId6"/><Relationship Type="http://schemas.openxmlformats.org/officeDocument/2006/relationships/chart" Target="/xl/charts/chart34.xml" Id="rId7"/></Relationships>
</file>

<file path=xl/drawings/_rels/drawing6.xml.rels><Relationships xmlns="http://schemas.openxmlformats.org/package/2006/relationships"><Relationship Type="http://schemas.openxmlformats.org/officeDocument/2006/relationships/chart" Target="/xl/charts/chart35.xml" Id="rId1"/><Relationship Type="http://schemas.openxmlformats.org/officeDocument/2006/relationships/chart" Target="/xl/charts/chart36.xml" Id="rId2"/><Relationship Type="http://schemas.openxmlformats.org/officeDocument/2006/relationships/chart" Target="/xl/charts/chart37.xml" Id="rId3"/><Relationship Type="http://schemas.openxmlformats.org/officeDocument/2006/relationships/chart" Target="/xl/charts/chart38.xml" Id="rId4"/><Relationship Type="http://schemas.openxmlformats.org/officeDocument/2006/relationships/chart" Target="/xl/charts/chart39.xml" Id="rId5"/><Relationship Type="http://schemas.openxmlformats.org/officeDocument/2006/relationships/chart" Target="/xl/charts/chart40.xml" Id="rId6"/><Relationship Type="http://schemas.openxmlformats.org/officeDocument/2006/relationships/chart" Target="/xl/charts/chart41.xml" Id="rId7"/></Relationships>
</file>

<file path=xl/drawings/_rels/drawing7.xml.rels><Relationships xmlns="http://schemas.openxmlformats.org/package/2006/relationships"><Relationship Type="http://schemas.openxmlformats.org/officeDocument/2006/relationships/chart" Target="/xl/charts/chart42.xml" Id="rId1"/><Relationship Type="http://schemas.openxmlformats.org/officeDocument/2006/relationships/chart" Target="/xl/charts/chart43.xml" Id="rId2"/><Relationship Type="http://schemas.openxmlformats.org/officeDocument/2006/relationships/chart" Target="/xl/charts/chart44.xml" Id="rId3"/><Relationship Type="http://schemas.openxmlformats.org/officeDocument/2006/relationships/chart" Target="/xl/charts/chart45.xml" Id="rId4"/><Relationship Type="http://schemas.openxmlformats.org/officeDocument/2006/relationships/chart" Target="/xl/charts/chart46.xml" Id="rId5"/></Relationships>
</file>

<file path=xl/drawings/_rels/drawing8.xml.rels><Relationships xmlns="http://schemas.openxmlformats.org/package/2006/relationships"><Relationship Type="http://schemas.openxmlformats.org/officeDocument/2006/relationships/chart" Target="/xl/charts/chart47.xml" Id="rId1"/><Relationship Type="http://schemas.openxmlformats.org/officeDocument/2006/relationships/chart" Target="/xl/charts/chart48.xml" Id="rId2"/><Relationship Type="http://schemas.openxmlformats.org/officeDocument/2006/relationships/chart" Target="/xl/charts/chart49.xml" Id="rId3"/><Relationship Type="http://schemas.openxmlformats.org/officeDocument/2006/relationships/chart" Target="/xl/charts/chart50.xml" Id="rId4"/><Relationship Type="http://schemas.openxmlformats.org/officeDocument/2006/relationships/chart" Target="/xl/charts/chart51.xml" Id="rId5"/></Relationships>
</file>

<file path=xl/drawings/_rels/drawing9.xml.rels><Relationships xmlns="http://schemas.openxmlformats.org/package/2006/relationships"><Relationship Type="http://schemas.openxmlformats.org/officeDocument/2006/relationships/chart" Target="/xl/charts/chart52.xml" Id="rId1"/><Relationship Type="http://schemas.openxmlformats.org/officeDocument/2006/relationships/chart" Target="/xl/charts/chart53.xml" Id="rId2"/><Relationship Type="http://schemas.openxmlformats.org/officeDocument/2006/relationships/chart" Target="/xl/charts/chart54.xml" Id="rId3"/><Relationship Type="http://schemas.openxmlformats.org/officeDocument/2006/relationships/chart" Target="/xl/charts/chart55.xml" Id="rId4"/></Relationships>
</file>

<file path=xl/drawings/_rels/drawing10.xml.rels><Relationships xmlns="http://schemas.openxmlformats.org/package/2006/relationships"><Relationship Type="http://schemas.openxmlformats.org/officeDocument/2006/relationships/chart" Target="/xl/charts/chart56.xml" Id="rId1"/><Relationship Type="http://schemas.openxmlformats.org/officeDocument/2006/relationships/chart" Target="/xl/charts/chart57.xml" Id="rId2"/><Relationship Type="http://schemas.openxmlformats.org/officeDocument/2006/relationships/chart" Target="/xl/charts/chart58.xml" Id="rId3"/><Relationship Type="http://schemas.openxmlformats.org/officeDocument/2006/relationships/chart" Target="/xl/charts/chart59.xml" Id="rId4"/><Relationship Type="http://schemas.openxmlformats.org/officeDocument/2006/relationships/chart" Target="/xl/charts/chart60.xml" Id="rId5"/></Relationships>
</file>

<file path=xl/drawings/_rels/drawing11.xml.rels><Relationships xmlns="http://schemas.openxmlformats.org/package/2006/relationships"><Relationship Type="http://schemas.openxmlformats.org/officeDocument/2006/relationships/chart" Target="/xl/charts/chart61.xml" Id="rId1"/><Relationship Type="http://schemas.openxmlformats.org/officeDocument/2006/relationships/chart" Target="/xl/charts/chart62.xml" Id="rId2"/><Relationship Type="http://schemas.openxmlformats.org/officeDocument/2006/relationships/chart" Target="/xl/charts/chart63.xml" Id="rId3"/><Relationship Type="http://schemas.openxmlformats.org/officeDocument/2006/relationships/chart" Target="/xl/charts/chart64.xml" Id="rId4"/><Relationship Type="http://schemas.openxmlformats.org/officeDocument/2006/relationships/chart" Target="/xl/charts/chart65.xml" Id="rId5"/></Relationships>
</file>

<file path=xl/drawings/_rels/drawing12.xml.rels><Relationships xmlns="http://schemas.openxmlformats.org/package/2006/relationships"><Relationship Type="http://schemas.openxmlformats.org/officeDocument/2006/relationships/chart" Target="/xl/charts/chart66.xml" Id="rId1"/><Relationship Type="http://schemas.openxmlformats.org/officeDocument/2006/relationships/chart" Target="/xl/charts/chart67.xml" Id="rId2"/><Relationship Type="http://schemas.openxmlformats.org/officeDocument/2006/relationships/chart" Target="/xl/charts/chart68.xml" Id="rId3"/><Relationship Type="http://schemas.openxmlformats.org/officeDocument/2006/relationships/chart" Target="/xl/charts/chart69.xml" Id="rId4"/><Relationship Type="http://schemas.openxmlformats.org/officeDocument/2006/relationships/chart" Target="/xl/charts/chart70.xml" Id="rId5"/></Relationships>
</file>

<file path=xl/drawings/_rels/drawing13.xml.rels><Relationships xmlns="http://schemas.openxmlformats.org/package/2006/relationships"><Relationship Type="http://schemas.openxmlformats.org/officeDocument/2006/relationships/chart" Target="/xl/charts/chart71.xml" Id="rId1"/><Relationship Type="http://schemas.openxmlformats.org/officeDocument/2006/relationships/chart" Target="/xl/charts/chart72.xml" Id="rId2"/><Relationship Type="http://schemas.openxmlformats.org/officeDocument/2006/relationships/chart" Target="/xl/charts/chart73.xml" Id="rId3"/><Relationship Type="http://schemas.openxmlformats.org/officeDocument/2006/relationships/chart" Target="/xl/charts/chart74.xml" Id="rId4"/></Relationships>
</file>

<file path=xl/drawings/_rels/drawing14.xml.rels><Relationships xmlns="http://schemas.openxmlformats.org/package/2006/relationships"><Relationship Type="http://schemas.openxmlformats.org/officeDocument/2006/relationships/chart" Target="/xl/charts/chart75.xml" Id="rId1"/><Relationship Type="http://schemas.openxmlformats.org/officeDocument/2006/relationships/chart" Target="/xl/charts/chart76.xml" Id="rId2"/><Relationship Type="http://schemas.openxmlformats.org/officeDocument/2006/relationships/chart" Target="/xl/charts/chart77.xml" Id="rId3"/><Relationship Type="http://schemas.openxmlformats.org/officeDocument/2006/relationships/chart" Target="/xl/charts/chart78.xml" Id="rId4"/><Relationship Type="http://schemas.openxmlformats.org/officeDocument/2006/relationships/chart" Target="/xl/charts/chart79.xml" Id="rId5"/></Relationships>
</file>

<file path=xl/drawings/_rels/drawing15.xml.rels><Relationships xmlns="http://schemas.openxmlformats.org/package/2006/relationships"><Relationship Type="http://schemas.openxmlformats.org/officeDocument/2006/relationships/chart" Target="/xl/charts/chart80.xml" Id="rId1"/><Relationship Type="http://schemas.openxmlformats.org/officeDocument/2006/relationships/chart" Target="/xl/charts/chart81.xml" Id="rId2"/><Relationship Type="http://schemas.openxmlformats.org/officeDocument/2006/relationships/chart" Target="/xl/charts/chart82.xml" Id="rId3"/><Relationship Type="http://schemas.openxmlformats.org/officeDocument/2006/relationships/chart" Target="/xl/charts/chart83.xml" Id="rId4"/></Relationships>
</file>

<file path=xl/drawings/_rels/drawing16.xml.rels><Relationships xmlns="http://schemas.openxmlformats.org/package/2006/relationships"><Relationship Type="http://schemas.openxmlformats.org/officeDocument/2006/relationships/chart" Target="/xl/charts/chart84.xml" Id="rId1"/><Relationship Type="http://schemas.openxmlformats.org/officeDocument/2006/relationships/chart" Target="/xl/charts/chart85.xml" Id="rId2"/><Relationship Type="http://schemas.openxmlformats.org/officeDocument/2006/relationships/chart" Target="/xl/charts/chart86.xml" Id="rId3"/><Relationship Type="http://schemas.openxmlformats.org/officeDocument/2006/relationships/chart" Target="/xl/charts/chart87.xml" Id="rId4"/><Relationship Type="http://schemas.openxmlformats.org/officeDocument/2006/relationships/chart" Target="/xl/charts/chart88.xml" Id="rId5"/><Relationship Type="http://schemas.openxmlformats.org/officeDocument/2006/relationships/chart" Target="/xl/charts/chart89.xml" Id="rId6"/><Relationship Type="http://schemas.openxmlformats.org/officeDocument/2006/relationships/chart" Target="/xl/charts/chart90.xml" Id="rId7"/></Relationships>
</file>

<file path=xl/drawings/_rels/drawing17.xml.rels><Relationships xmlns="http://schemas.openxmlformats.org/package/2006/relationships"><Relationship Type="http://schemas.openxmlformats.org/officeDocument/2006/relationships/chart" Target="/xl/charts/chart91.xml" Id="rId1"/><Relationship Type="http://schemas.openxmlformats.org/officeDocument/2006/relationships/chart" Target="/xl/charts/chart92.xml" Id="rId2"/><Relationship Type="http://schemas.openxmlformats.org/officeDocument/2006/relationships/chart" Target="/xl/charts/chart93.xml" Id="rId3"/><Relationship Type="http://schemas.openxmlformats.org/officeDocument/2006/relationships/chart" Target="/xl/charts/chart94.xml" Id="rId4"/><Relationship Type="http://schemas.openxmlformats.org/officeDocument/2006/relationships/chart" Target="/xl/charts/chart95.xml" Id="rId5"/><Relationship Type="http://schemas.openxmlformats.org/officeDocument/2006/relationships/chart" Target="/xl/charts/chart96.xml" Id="rId6"/><Relationship Type="http://schemas.openxmlformats.org/officeDocument/2006/relationships/chart" Target="/xl/charts/chart97.xml" Id="rId7"/></Relationships>
</file>

<file path=xl/drawings/_rels/drawing18.xml.rels><Relationships xmlns="http://schemas.openxmlformats.org/package/2006/relationships"><Relationship Type="http://schemas.openxmlformats.org/officeDocument/2006/relationships/chart" Target="/xl/charts/chart98.xml" Id="rId1"/><Relationship Type="http://schemas.openxmlformats.org/officeDocument/2006/relationships/chart" Target="/xl/charts/chart99.xml" Id="rId2"/><Relationship Type="http://schemas.openxmlformats.org/officeDocument/2006/relationships/chart" Target="/xl/charts/chart100.xml" Id="rId3"/><Relationship Type="http://schemas.openxmlformats.org/officeDocument/2006/relationships/chart" Target="/xl/charts/chart101.xml" Id="rId4"/><Relationship Type="http://schemas.openxmlformats.org/officeDocument/2006/relationships/chart" Target="/xl/charts/chart102.xml" Id="rId5"/><Relationship Type="http://schemas.openxmlformats.org/officeDocument/2006/relationships/chart" Target="/xl/charts/chart103.xml" Id="rId6"/></Relationships>
</file>

<file path=xl/drawings/drawing1.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20682</colOff>
      <row>16</row>
      <rowOff>229913</rowOff>
    </from>
    <to>
      <col>15</col>
      <colOff>20681</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301300</colOff>
      <row>56</row>
      <rowOff>223546</rowOff>
    </from>
    <to>
      <col>8</col>
      <colOff>291802</colOff>
      <row>66</row>
      <rowOff>179330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drawings/drawing2.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229913</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598246</colOff>
      <row>68</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85725</colOff>
      <row>55</row>
      <rowOff>219075</rowOff>
    </from>
    <to>
      <col>16</col>
      <colOff>188671</colOff>
      <row>67</row>
      <rowOff>219075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3.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4.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5.xml><?xml version="1.0" encoding="utf-8"?>
<wsDr xmlns="http://schemas.openxmlformats.org/drawingml/2006/spreadsheetDrawing">
  <twoCellAnchor>
    <from>
      <col>1</col>
      <colOff>0</colOff>
      <row>17</row>
      <rowOff>0</rowOff>
    </from>
    <to>
      <col>7</col>
      <colOff>600808</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32636</rowOff>
    </from>
    <to>
      <col>7</col>
      <colOff>586068</colOff>
      <row>41</row>
      <rowOff>10225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4518</colOff>
      <row>40</row>
      <rowOff>161192</rowOff>
    </from>
    <to>
      <col>14</col>
      <colOff>593481</colOff>
      <row>52</row>
      <rowOff>161192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600809</colOff>
      <row>16</row>
      <rowOff>187052</rowOff>
    </from>
    <to>
      <col>14</col>
      <colOff>600809</colOff>
      <row>29</row>
      <rowOff>8798</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608134</colOff>
      <row>29</row>
      <rowOff>0</rowOff>
    </from>
    <to>
      <col>7</col>
      <colOff>593480</colOff>
      <row>40</row>
      <rowOff>168089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7</col>
      <colOff>600808</colOff>
      <row>29</row>
      <rowOff>431</rowOff>
    </from>
    <to>
      <col>14</col>
      <colOff>600808</colOff>
      <row>40</row>
      <rowOff>168520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0</colOff>
      <row>55</row>
      <rowOff>0</rowOff>
    </from>
    <to>
      <col>7</col>
      <colOff>598259</colOff>
      <row>67</row>
      <rowOff>2437</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6.xml><?xml version="1.0" encoding="utf-8"?>
<wsDr xmlns="http://schemas.openxmlformats.org/drawingml/2006/spreadsheetDrawing">
  <twoCellAnchor>
    <from>
      <col>0</col>
      <colOff>602549</colOff>
      <row>18</row>
      <rowOff>1680</rowOff>
    </from>
    <to>
      <col>7</col>
      <colOff>583499</colOff>
      <row>30</row>
      <rowOff>1681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602549</colOff>
      <row>30</row>
      <rowOff>698</rowOff>
    </from>
    <to>
      <col>7</col>
      <colOff>583499</colOff>
      <row>41</row>
      <rowOff>202404</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18889</colOff>
      <row>17</row>
      <rowOff>224146</rowOff>
    </from>
    <to>
      <col>15</col>
      <colOff>38100</colOff>
      <row>30</row>
      <rowOff>7792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580225</colOff>
      <row>30</row>
      <rowOff>11905</rowOff>
    </from>
    <to>
      <col>14</col>
      <colOff>600074</colOff>
      <row>41</row>
      <rowOff>213611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1</col>
      <colOff>2473</colOff>
      <row>41</row>
      <rowOff>209428</rowOff>
    </from>
    <to>
      <col>14</col>
      <colOff>600074</colOff>
      <row>53</row>
      <rowOff>209429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590550</colOff>
      <row>67</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38100</colOff>
      <row>55</row>
      <rowOff>190500</rowOff>
    </from>
    <to>
      <col>16</col>
      <colOff>114300</colOff>
      <row>67</row>
      <rowOff>133350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7.xml><?xml version="1.0" encoding="utf-8"?>
<wsDr xmlns="http://schemas.openxmlformats.org/drawingml/2006/spreadsheetDrawing">
  <twoCellAnchor>
    <from>
      <col>0</col>
      <colOff>598342</colOff>
      <row>15</row>
      <rowOff>180977</rowOff>
    </from>
    <to>
      <col>7</col>
      <colOff>535997</colOff>
      <row>27</row>
      <rowOff>152525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569428</colOff>
      <row>15</row>
      <rowOff>188119</rowOff>
    </from>
    <to>
      <col>16</col>
      <colOff>126083</colOff>
      <row>27</row>
      <rowOff>174512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598342</colOff>
      <row>28</row>
      <rowOff>126</rowOff>
    </from>
    <to>
      <col>7</col>
      <colOff>535997</colOff>
      <row>39</row>
      <rowOff>149805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563707</colOff>
      <row>28</row>
      <rowOff>126</rowOff>
    </from>
    <to>
      <col>16</col>
      <colOff>137679</colOff>
      <row>39</row>
      <rowOff>149805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60243</colOff>
      <row>40</row>
      <rowOff>44906</rowOff>
    </from>
    <to>
      <col>16</col>
      <colOff>246536</colOff>
      <row>52</row>
      <rowOff>30061</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8.xml><?xml version="1.0" encoding="utf-8"?>
<wsDr xmlns="http://schemas.openxmlformats.org/drawingml/2006/spreadsheetDrawing">
  <twoCellAnchor>
    <from>
      <col>0</col>
      <colOff>590549</colOff>
      <row>17</row>
      <rowOff>9524</rowOff>
    </from>
    <to>
      <col>7</col>
      <colOff>557892</colOff>
      <row>29</row>
      <rowOff>9524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604156</colOff>
      <row>17</row>
      <rowOff>5442</rowOff>
    </from>
    <to>
      <col>16</col>
      <colOff>108856</colOff>
      <row>29</row>
      <rowOff>5442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590549</colOff>
      <row>29</row>
      <rowOff>43711</rowOff>
    </from>
    <to>
      <col>7</col>
      <colOff>557892</colOff>
      <row>41</row>
      <rowOff>43711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594637</colOff>
      <row>29</row>
      <rowOff>43711</rowOff>
    </from>
    <to>
      <col>16</col>
      <colOff>99337</colOff>
      <row>41</row>
      <rowOff>43711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77565</colOff>
      <row>44</row>
      <rowOff>63952</rowOff>
    </from>
    <to>
      <col>16</col>
      <colOff>194587</colOff>
      <row>56</row>
      <rowOff>63952</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9.xml><?xml version="1.0" encoding="utf-8"?>
<wsDr xmlns="http://schemas.openxmlformats.org/drawingml/2006/spreadsheetDrawing">
  <twoCellAnchor>
    <from>
      <col>0</col>
      <colOff>598344</colOff>
      <row>16</row>
      <rowOff>32904</rowOff>
    </from>
    <to>
      <col>7</col>
      <colOff>535999</colOff>
      <row>27</row>
      <rowOff>188768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598345</colOff>
      <row>16</row>
      <rowOff>18181</rowOff>
    </from>
    <to>
      <col>16</col>
      <colOff>172317</colOff>
      <row>27</row>
      <rowOff>174045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598344</colOff>
      <row>28</row>
      <rowOff>60184</rowOff>
    </from>
    <to>
      <col>7</col>
      <colOff>535999</colOff>
      <row>40</row>
      <rowOff>60184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576700</colOff>
      <row>28</row>
      <rowOff>60184</rowOff>
    </from>
    <to>
      <col>16</col>
      <colOff>150672</colOff>
      <row>40</row>
      <rowOff>60184</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0.xml><?xml version="1.0" encoding="utf-8"?>
<wsDr xmlns="http://schemas.openxmlformats.org/drawingml/2006/spreadsheetDrawing">
  <twoCellAnchor>
    <from>
      <col>1</col>
      <colOff>15478</colOff>
      <row>15</row>
      <rowOff>182706</rowOff>
    </from>
    <to>
      <col>8</col>
      <colOff>22405</colOff>
      <row>27</row>
      <rowOff>182706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69905</colOff>
      <row>15</row>
      <rowOff>159585</rowOff>
    </from>
    <to>
      <col>16</col>
      <colOff>240119</colOff>
      <row>27</row>
      <rowOff>159585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15478</colOff>
      <row>28</row>
      <rowOff>23882</rowOff>
    </from>
    <to>
      <col>8</col>
      <colOff>22405</colOff>
      <row>40</row>
      <rowOff>23882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63087</colOff>
      <row>28</row>
      <rowOff>23882</rowOff>
    </from>
    <to>
      <col>16</col>
      <colOff>243196</colOff>
      <row>40</row>
      <rowOff>23882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103908</colOff>
      <row>40</row>
      <rowOff>141885</rowOff>
    </from>
    <to>
      <col>16</col>
      <colOff>284017</colOff>
      <row>52</row>
      <rowOff>141885</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1.xml><?xml version="1.0" encoding="utf-8"?>
<wsDr xmlns="http://schemas.openxmlformats.org/drawingml/2006/spreadsheetDrawing">
  <twoCellAnchor>
    <from>
      <col>0</col>
      <colOff>592942</colOff>
      <row>15</row>
      <rowOff>81963</rowOff>
    </from>
    <to>
      <col>7</col>
      <colOff>599869</colOff>
      <row>27</row>
      <rowOff>81963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36010</colOff>
      <row>15</row>
      <rowOff>92294</rowOff>
    </from>
    <to>
      <col>16</col>
      <colOff>222231</colOff>
      <row>27</row>
      <rowOff>73957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592942</colOff>
      <row>27</row>
      <rowOff>138029</rowOff>
    </from>
    <to>
      <col>7</col>
      <colOff>599869</colOff>
      <row>39</row>
      <rowOff>138029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54348</colOff>
      <row>27</row>
      <rowOff>138029</rowOff>
    </from>
    <to>
      <col>16</col>
      <colOff>234457</colOff>
      <row>39</row>
      <rowOff>138029</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166407</colOff>
      <row>40</row>
      <rowOff>70757</rowOff>
    </from>
    <to>
      <col>16</col>
      <colOff>346516</colOff>
      <row>52</row>
      <rowOff>37140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2.xml><?xml version="1.0" encoding="utf-8"?>
<wsDr xmlns="http://schemas.openxmlformats.org/drawingml/2006/spreadsheetDrawing">
  <twoCellAnchor>
    <from>
      <col>1</col>
      <colOff>1215</colOff>
      <row>15</row>
      <rowOff>112441</rowOff>
    </from>
    <to>
      <col>7</col>
      <colOff>457395</colOff>
      <row>27</row>
      <rowOff>95123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1215</colOff>
      <row>39</row>
      <rowOff>131416</rowOff>
    </from>
    <to>
      <col>7</col>
      <colOff>457395</colOff>
      <row>51</row>
      <rowOff>131416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483630</colOff>
      <row>27</row>
      <rowOff>122748</rowOff>
    </from>
    <to>
      <col>16</col>
      <colOff>57603</colOff>
      <row>39</row>
      <rowOff>105430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1215</colOff>
      <row>27</row>
      <rowOff>122748</rowOff>
    </from>
    <to>
      <col>7</col>
      <colOff>457395</colOff>
      <row>39</row>
      <rowOff>105430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483630</colOff>
      <row>15</row>
      <rowOff>112441</rowOff>
    </from>
    <to>
      <col>16</col>
      <colOff>57603</colOff>
      <row>27</row>
      <rowOff>95123</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3.xml><?xml version="1.0" encoding="utf-8"?>
<wsDr xmlns="http://schemas.openxmlformats.org/drawingml/2006/spreadsheetDrawing">
  <twoCellAnchor>
    <from>
      <col>19</col>
      <colOff>484910</colOff>
      <row>0</row>
      <rowOff>4762</rowOff>
    </from>
    <to>
      <col>27</col>
      <colOff>110837</colOff>
      <row>12</row>
      <rowOff>4762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19</col>
      <colOff>484910</colOff>
      <row>23</row>
      <rowOff>155866</rowOff>
    </from>
    <to>
      <col>27</col>
      <colOff>110837</colOff>
      <row>35</row>
      <rowOff>51957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19</col>
      <colOff>484910</colOff>
      <row>12</row>
      <rowOff>36374</rowOff>
    </from>
    <to>
      <col>27</col>
      <colOff>110837</colOff>
      <row>23</row>
      <rowOff>122965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27</col>
      <colOff>130174</colOff>
      <row>12</row>
      <rowOff>36374</rowOff>
    </from>
    <to>
      <col>34</col>
      <colOff>431511</colOff>
      <row>23</row>
      <rowOff>122965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4.xml><?xml version="1.0" encoding="utf-8"?>
<wsDr xmlns="http://schemas.openxmlformats.org/drawingml/2006/spreadsheetDrawing">
  <twoCellAnchor>
    <from>
      <col>1</col>
      <colOff>66675</colOff>
      <row>17</row>
      <rowOff>19051</rowOff>
    </from>
    <to>
      <col>8</col>
      <colOff>73602</colOff>
      <row>29</row>
      <rowOff>19051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66675</colOff>
      <row>41</row>
      <rowOff>86593</rowOff>
    </from>
    <to>
      <col>8</col>
      <colOff>73602</colOff>
      <row>53</row>
      <rowOff>86593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66675</colOff>
      <row>29</row>
      <rowOff>57909</rowOff>
    </from>
    <to>
      <col>8</col>
      <colOff>73602</colOff>
      <row>41</row>
      <rowOff>57909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103914</colOff>
      <row>17</row>
      <rowOff>19051</rowOff>
    </from>
    <to>
      <col>16</col>
      <colOff>284023</colOff>
      <row>29</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103914</colOff>
      <row>29</row>
      <rowOff>57909</rowOff>
    </from>
    <to>
      <col>16</col>
      <colOff>284023</colOff>
      <row>41</row>
      <rowOff>57909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5.xml><?xml version="1.0" encoding="utf-8"?>
<wsDr xmlns="http://schemas.openxmlformats.org/drawingml/2006/spreadsheetDrawing">
  <twoCellAnchor>
    <from>
      <col>20</col>
      <colOff>0</colOff>
      <row>0</row>
      <rowOff>23812</rowOff>
    </from>
    <to>
      <col>26</col>
      <colOff>133350</colOff>
      <row>12</row>
      <rowOff>23812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20</col>
      <colOff>0</colOff>
      <row>24</row>
      <rowOff>81642</rowOff>
    </from>
    <to>
      <col>26</col>
      <colOff>146957</colOff>
      <row>36</row>
      <rowOff>68035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20</col>
      <colOff>0</colOff>
      <row>12</row>
      <rowOff>47851</rowOff>
    </from>
    <to>
      <col>26</col>
      <colOff>136071</colOff>
      <row>24</row>
      <rowOff>47851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26</col>
      <colOff>195035</colOff>
      <row>12</row>
      <rowOff>47851</rowOff>
    </from>
    <to>
      <col>33</col>
      <colOff>433160</colOff>
      <row>24</row>
      <rowOff>47851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6.xml><?xml version="1.0" encoding="utf-8"?>
<wsDr xmlns="http://schemas.openxmlformats.org/drawingml/2006/spreadsheetDrawing">
  <twoCellAnchor>
    <from>
      <col>1</col>
      <colOff>0</colOff>
      <row>17</row>
      <rowOff>0</rowOff>
    </from>
    <to>
      <col>8</col>
      <colOff>20639</colOff>
      <row>29</row>
      <rowOff>9525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0</rowOff>
    </from>
    <to>
      <col>8</col>
      <colOff>0</colOff>
      <row>41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0</colOff>
      <row>29</row>
      <rowOff>0</rowOff>
    </from>
    <to>
      <col>15</col>
      <colOff>33312</colOff>
      <row>41</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0</colOff>
      <row>17</row>
      <rowOff>1</rowOff>
    </from>
    <to>
      <col>15</col>
      <colOff>38099</colOff>
      <row>29</row>
      <rowOff>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twoCellAnchor>
  <twoCellAnchor>
    <from>
      <col>1</col>
      <colOff>0</colOff>
      <row>41</row>
      <rowOff>0</rowOff>
    </from>
    <to>
      <col>15</col>
      <colOff>19050</colOff>
      <row>53</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55</row>
      <rowOff>0</rowOff>
    </from>
    <to>
      <col>8</col>
      <colOff>0</colOff>
      <row>67</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104775</colOff>
      <row>54</row>
      <rowOff>200025</rowOff>
    </from>
    <to>
      <col>16</col>
      <colOff>190500</colOff>
      <row>66</row>
      <rowOff>200025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7.xml><?xml version="1.0" encoding="utf-8"?>
<wsDr xmlns="http://schemas.openxmlformats.org/drawingml/2006/spreadsheetDrawing">
  <twoCellAnchor>
    <from>
      <col>1</col>
      <colOff>0</colOff>
      <row>29</row>
      <rowOff>32636</rowOff>
    </from>
    <to>
      <col>7</col>
      <colOff>586068</colOff>
      <row>41</row>
      <rowOff>10225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4518</colOff>
      <row>40</row>
      <rowOff>161192</rowOff>
    </from>
    <to>
      <col>14</col>
      <colOff>593481</colOff>
      <row>52</row>
      <rowOff>161192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600809</colOff>
      <row>16</row>
      <rowOff>187052</rowOff>
    </from>
    <to>
      <col>14</col>
      <colOff>600809</colOff>
      <row>29</row>
      <rowOff>8798</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600808</colOff>
      <row>29</row>
      <rowOff>431</rowOff>
    </from>
    <to>
      <col>14</col>
      <colOff>600808</colOff>
      <row>40</row>
      <rowOff>168520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352425</colOff>
      <row>54</row>
      <rowOff>152400</rowOff>
    </from>
    <to>
      <col>7</col>
      <colOff>341084</colOff>
      <row>66</row>
      <rowOff>154837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8</col>
      <colOff>38100</colOff>
      <row>54</row>
      <rowOff>171450</rowOff>
    </from>
    <to>
      <col>16</col>
      <colOff>409575</colOff>
      <row>66</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28575</colOff>
      <row>17</row>
      <rowOff>0</rowOff>
    </from>
    <to>
      <col>7</col>
      <colOff>523875</colOff>
      <row>28</row>
      <rowOff>161925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8.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465859</colOff>
      <row>61</row>
      <rowOff>101312</rowOff>
    </from>
    <to>
      <col>8</col>
      <colOff>457969</colOff>
      <row>73</row>
      <rowOff>101312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6175.55388136574" createdVersion="8" refreshedVersion="8" minRefreshableVersion="3" recordCount="29" r:id="rId1">
  <cacheSource type="worksheet">
    <worksheetSource ref="R1:AF30" sheet="Consumer Web Kanban"/>
  </cacheSource>
  <cacheFields count="15">
    <cacheField name="Week Starting On" uniqueList="1" numFmtId="0" sqlType="0" hierarchy="0" level="0" databaseField="1">
      <sharedItems count="35"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9" sqlType="0" hierarchy="0" level="0" databaseField="1">
      <sharedItems count="0" containsBlank="1" containsNumber="1" containsString="0" minValue="0" maxValue="0.1764705882352941"/>
    </cacheField>
    <cacheField name="LT Reopen Percentage" uniqueList="1" numFmtId="9" sqlType="0" hierarchy="0" level="0" databaseField="1">
      <sharedItems count="0" containsBlank="1" containsInteger="1" containsNumber="1" containsString="0" minValue="0" maxValue="0"/>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Definition2.xml><?xml version="1.0" encoding="utf-8"?>
<pivotCacheDefinition xmlns:r="http://schemas.openxmlformats.org/officeDocument/2006/relationships" xmlns="http://schemas.openxmlformats.org/spreadsheetml/2006/main" refreshedBy="Excel Services" refreshedDate="46175.55421412037" createdVersion="6" refreshedVersion="8" minRefreshableVersion="3" recordCount="75" r:id="rId1">
  <cacheSource type="worksheet">
    <worksheetSource ref="R1:AF1048576" sheet="Consumer Web Kanban"/>
  </cacheSource>
  <cacheFields count="15">
    <cacheField name="Week Starting On" uniqueList="1" numFmtId="0" sqlType="0" hierarchy="0" level="0" databaseField="1">
      <sharedItems count="122"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 v="LCW 2/9 - 2/29" u="1"/>
        <s v="LCW 3/1 - 3/31" u="1"/>
        <s v="LCW4/1 -4/30" u="1"/>
        <s v="LCW 12/15 - 1/12" u="1"/>
        <s v="LCW 1/12 - 1/26" u="1"/>
        <s v="LCW 1/26 - 2/9" u="1"/>
        <s v="LCW 2/9 - 2/23" u="1"/>
        <s v="LCW 2/23 - 3/9" u="1"/>
        <s v="LCW 3/9 - 3/23" u="1"/>
        <s v="LCW 3/23 - 4/6" u="1"/>
        <s v="LCW 4/6 - 4/20" u="1"/>
        <s v="LCW 4/20 - 5/4" u="1"/>
        <s v="LCW 5/4 - 5/18" u="1"/>
        <s v="LCW 5/18 - 6/1" u="1"/>
        <s v="LCW 6/1 - 6/15" u="1"/>
        <s v="LCW 6/15-6/29" u="1"/>
        <s v="LCW 6/29 - 7/13" u="1"/>
        <s v="LCW 7/13 - 7/27" u="1"/>
        <s v="LCW 7/27 - 8/10" u="1"/>
        <s v="LCW 8/10 - 8/24" u="1"/>
        <s v="LCW 8/24 - 9/7" u="1"/>
        <s v="LCW 9/7 - 9/21" u="1"/>
        <s v="LCW 9/21 - 10/5" u="1"/>
        <s v="LCW 10/5 - 10/19" u="1"/>
        <s v="LCW 4/22 - 5/6" u="1"/>
        <s v="LCW 6/17 - 7/1" u="1"/>
        <s v="LCW 4/21 - 5/5" u="1"/>
        <s v="LCW 11/17 - 12/1" u="1"/>
        <s v="CW :  10/05 - 10/12" u="1"/>
        <s v="LCW 12/30 - 1/13" u="1"/>
        <s v="LCW 9/22 - 10/6" u="1"/>
        <s v="CW :  11/23- 11/30" u="1"/>
        <s v="LCW 9/23 - 10/7" u="1"/>
        <s v="LCW 6/30 - 7/14" u="1"/>
        <s v="CW :  11/23 - 11/30" u="1"/>
        <s v="LCW 7/14 - 7/28" u="1"/>
        <s v="LCW 10/20 - 11/3" u="1"/>
        <s v="LCW 7/15 - 7/29" u="1"/>
        <s v="LCW 12/3 - 12/17" u="1"/>
        <s v="LCW 3/24 - 4/7" u="1"/>
        <s v="LCW 10/21 -11/4" u="1"/>
        <s v="LCW 11/18 -12/2" u="1"/>
        <s v="LCW 5/19 - 6/2" u="1"/>
        <s v="LCW 5/20 - 6/3" u="1"/>
        <s v="LCW 3/10 - 3/24" u="1"/>
        <s v="LCW 5/6 - 5/20" u="1"/>
        <s v="LCW 7/28 - 8/11" u="1"/>
        <s v="LCW 3/12 - 3/26" u="1"/>
        <s v="CW :  10/19 - 10/26" u="1"/>
        <s v="LCW 7/29 - 8/12" u="1"/>
        <s v="LCW 5/5 - 5/19" u="1"/>
        <s v="CW :  10/26 - 11/02" u="1"/>
        <s v="LCW 7/1 - 7/15" u="1"/>
        <s v="LCW 8/26 - 9/9" u="1"/>
        <s v="LCW 8/25 - 9/8" u="1"/>
        <s v="LCW 1/14 - 1/28" u="1"/>
        <s v="CW :  11/09 - 11/16" u="1"/>
        <s v="LCW 4/7 - 4/21" u="1"/>
        <s v="LCW 10/7 -10/21" u="1"/>
        <s v="LCW 8/11 - 8/25" u="1"/>
        <s v="LCW 9/8 - 9/22" u="1"/>
        <s v="LCW 11/ 2-11/18" u="1"/>
        <s v="LCW 12/17 - 12/30" u="1"/>
        <s v="LCW 1/27 - 2/10" u="1"/>
        <s v="LCW 8/12 - 8/26" u="1"/>
        <s v="LCW 1/28 - 2/11" u="1"/>
        <s v="LCW 10/6 - 10/20" u="1"/>
        <s v="LCW 2/24 - 3/10" u="1"/>
        <s v="LCW 6/2 - 6/16" u="1"/>
        <s v="LCW 12/16 -1/6" u="1"/>
        <s v="CW :  11/02- 11/09" u="1"/>
        <s v="LCW 6/16 - 6/30" u="1"/>
        <s v="LCW 1/6- 1/27" u="1"/>
        <s v="LCW 4/8 - 4/22" u="1"/>
        <s v="LCW 12/3-12/17" u="1"/>
        <s v="LCW 9/9 - 9/23" u="1"/>
        <s v="LCW 12/2 -12/16" u="1"/>
        <s v="LCW 2/10 - 2/24" u="1"/>
        <s v="LCW 3/27 - 4/8" u="1"/>
        <s v="LCW 11/3 - 11/17" u="1"/>
        <s v="LCW 12/17-12/30" u="1"/>
        <s v="LCW 2/11 - 2/25" u="1"/>
        <s v="CW :  11/16 - 11/23" u="1"/>
        <s v="LCW 6/3 - 6/17" u="1"/>
        <s v="LCW 2/25 - 3/12" u="1"/>
        <s v="CW :  10/12 - 10/19" u="1"/>
        <s v=" LCW 12/1 - 12/15"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0" sqlType="0" hierarchy="0" level="0" databaseField="1">
      <sharedItems count="0" containsBlank="1" containsNumber="1" containsString="0" minValue="0" maxValue="0.1764705882352941"/>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3.xml><?xml version="1.0" encoding="utf-8"?>
<pivotCacheDefinition xmlns:r="http://schemas.openxmlformats.org/officeDocument/2006/relationships" xmlns="http://schemas.openxmlformats.org/spreadsheetml/2006/main" refreshedBy="Excel Services" refreshedDate="46174.71721793981" createdVersion="8" refreshedVersion="8" minRefreshableVersion="3" recordCount="59" r:id="rId1">
  <cacheSource type="worksheet">
    <worksheetSource ref="R1:AF60" sheet="SEOD"/>
  </cacheSource>
  <cacheFields count="15">
    <cacheField name="Week Starting On" uniqueList="1" numFmtId="0" sqlType="0" hierarchy="0" level="0" databaseField="1">
      <sharedItems count="67"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 v=" SEOD 05/06 - 05/20"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4.xml><?xml version="1.0" encoding="utf-8"?>
<pivotCacheDefinition xmlns:r="http://schemas.openxmlformats.org/officeDocument/2006/relationships" xmlns="http://schemas.openxmlformats.org/spreadsheetml/2006/main" refreshedBy="Excel Services" refreshedDate="46174.71736145833" createdVersion="8" refreshedVersion="8" minRefreshableVersion="3" recordCount="60" r:id="rId1">
  <cacheSource type="worksheet">
    <worksheetSource ref="R1:AF61" sheet="SEOD"/>
  </cacheSource>
  <cacheFields count="15">
    <cacheField name="Week Starting On" uniqueList="1" numFmtId="0" sqlType="0" hierarchy="0" level="0" databaseField="1">
      <sharedItems count="66"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5.xml><?xml version="1.0" encoding="utf-8"?>
<pivotCacheDefinition xmlns:r="http://schemas.openxmlformats.org/officeDocument/2006/relationships" xmlns="http://schemas.openxmlformats.org/spreadsheetml/2006/main" refreshedBy="Kunal Badgujar" refreshedDate="46175.47777037037" createdVersion="8" refreshedVersion="8" minRefreshableVersion="3" recordCount="24" r:id="rId1">
  <cacheSource type="worksheet">
    <worksheetSource ref="R1:AF25"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6.xml><?xml version="1.0" encoding="utf-8"?>
<pivotCacheDefinition xmlns:r="http://schemas.openxmlformats.org/officeDocument/2006/relationships" xmlns="http://schemas.openxmlformats.org/spreadsheetml/2006/main" refreshedBy="Kunal Badgujar" refreshedDate="46175.47765659722" createdVersion="8" refreshedVersion="8" minRefreshableVersion="3" recordCount="34" r:id="rId1">
  <cacheSource type="worksheet">
    <worksheetSource ref="R1:AF35" sheet="WPM Scrum "/>
  </cacheSource>
  <cacheFields count="15">
    <cacheField name="Week Starting On" uniqueList="1" numFmtId="0" sqlType="0" hierarchy="0" level="0" databaseField="1">
      <sharedItems count="27"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7.xml><?xml version="1.0" encoding="utf-8"?>
<pivotCacheDefinition xmlns:r="http://schemas.openxmlformats.org/officeDocument/2006/relationships" xmlns="http://schemas.openxmlformats.org/spreadsheetml/2006/main" refreshedBy="Kunal Badgujar" refreshedDate="46175.47948217593" createdVersion="8" refreshedVersion="8" minRefreshableVersion="3" recordCount="25" r:id="rId1">
  <cacheSource type="worksheet">
    <worksheetSource ref="R1:AF26"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8.xml><?xml version="1.0" encoding="utf-8"?>
<pivotCacheDefinition xmlns:r="http://schemas.openxmlformats.org/officeDocument/2006/relationships" xmlns="http://schemas.openxmlformats.org/spreadsheetml/2006/main" refreshedBy="Kunal Badgujar" refreshedDate="46175.47964780092" createdVersion="8" refreshedVersion="8" minRefreshableVersion="3" recordCount="47" r:id="rId1">
  <cacheSource type="worksheet">
    <worksheetSource ref="R1:AF48"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0" sqlType="0" hierarchy="0" level="0" databaseField="1">
      <sharedItems count="0" containsBlank="1" containsNumber="1" containsString="0" minValue="0" maxValue="0.4"/>
    </cacheField>
    <cacheField name="LT Reopen Percentage" uniqueList="1" numFmtId="0" sqlType="0" hierarchy="0" level="0" databaseField="1">
      <sharedItems count="0" containsBlank="1" containsNumber="1" containsString="0" minValue="0" maxValue="0.5"/>
    </cacheField>
    <cacheField name="V2 Carryover Percentage" uniqueList="1" numFmtId="0" sqlType="0" hierarchy="0" level="0" databaseField="1">
      <sharedItems count="0" containsBlank="1" containsNumber="1" containsString="0" minValue="0" maxValue="1.5"/>
    </cacheField>
    <cacheField name="LT Carryover Percentage" uniqueList="1" numFmtId="0" sqlType="0" hierarchy="0" level="0" databaseField="1">
      <sharedItems count="0" containsBlank="1" containsNumber="1" containsString="0" minValue="0" maxValue="1.105263157894737"/>
    </cacheField>
    <cacheField name="Planned Vs Completed ratio" uniqueList="1" numFmtId="0" sqlType="0" hierarchy="0" level="0" databaseField="1">
      <sharedItems count="0" containsBlank="1" containsNumber="1" containsString="0" minValue="0.5434782608695652" maxValue="1"/>
    </cacheField>
  </cacheFields>
</pivotCacheDefinition>
</file>

<file path=xl/pivotCache/pivotCacheDefinition9.xml><?xml version="1.0" encoding="utf-8"?>
<pivotCacheDefinition xmlns:r="http://schemas.openxmlformats.org/officeDocument/2006/relationships" xmlns="http://schemas.openxmlformats.org/spreadsheetml/2006/main" refreshedBy="Excel Services" refreshedDate="46175.59565370371" createdVersion="8" refreshedVersion="8" minRefreshableVersion="3" recordCount="22" r:id="rId1">
  <cacheSource type="worksheet">
    <worksheetSource ref="R1:AF2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0.xml><?xml version="1.0" encoding="utf-8"?>
<pivotCacheDefinition xmlns:r="http://schemas.openxmlformats.org/officeDocument/2006/relationships" xmlns="http://schemas.openxmlformats.org/spreadsheetml/2006/main" refreshedBy="Kunal Badgujar" refreshedDate="46175.48291041666" createdVersion="8" refreshedVersion="8" minRefreshableVersion="3" recordCount="32" r:id="rId1">
  <cacheSource type="worksheet">
    <worksheetSource ref="R1:AF3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1.xml><?xml version="1.0" encoding="utf-8"?>
<pivotCacheDefinition xmlns:r="http://schemas.openxmlformats.org/officeDocument/2006/relationships" xmlns="http://schemas.openxmlformats.org/spreadsheetml/2006/main" refreshedBy="Kunal Badgujar" refreshedDate="46175.48309513889" createdVersion="8" refreshedVersion="8" minRefreshableVersion="3" recordCount="20" r:id="rId1">
  <cacheSource type="worksheet">
    <worksheetSource ref="R1:AF2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2.xml><?xml version="1.0" encoding="utf-8"?>
<pivotCacheDefinition xmlns:r="http://schemas.openxmlformats.org/officeDocument/2006/relationships" xmlns="http://schemas.openxmlformats.org/spreadsheetml/2006/main" refreshedBy="Excel Services" refreshedDate="46184.72979074074" createdVersion="8" refreshedVersion="8" minRefreshableVersion="3" recordCount="41" r:id="rId1">
  <cacheSource type="worksheet">
    <worksheetSource ref="R1:AF42"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3.xml><?xml version="1.0" encoding="utf-8"?>
<pivotCacheDefinition xmlns:r="http://schemas.openxmlformats.org/officeDocument/2006/relationships" xmlns="http://schemas.openxmlformats.org/spreadsheetml/2006/main" refreshedBy="Kunal Badgujar" refreshedDate="46175.48270231482" createdVersion="8" refreshedVersion="8" minRefreshableVersion="3" recordCount="40" r:id="rId1">
  <cacheSource type="worksheet">
    <worksheetSource ref="R1:AF4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4.xml><?xml version="1.0" encoding="utf-8"?>
<pivotCacheDefinition xmlns:r="http://schemas.openxmlformats.org/officeDocument/2006/relationships" xmlns="http://schemas.openxmlformats.org/spreadsheetml/2006/main" refreshedBy="Excel Services" refreshedDate="46174.50625451389" createdVersion="6" refreshedVersion="8" minRefreshableVersion="3" recordCount="68" r:id="rId1">
  <cacheSource type="worksheet">
    <worksheetSource ref="R1:AF1048576" sheet="Phoenix - Forms"/>
  </cacheSource>
  <cacheFields count="15">
    <cacheField name="Week Starting On" uniqueList="1" numFmtId="0" sqlType="0" hierarchy="0" level="0" databaseField="1">
      <sharedItems count="117"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15.xml><?xml version="1.0" encoding="utf-8"?>
<pivotCacheDefinition xmlns:r="http://schemas.openxmlformats.org/officeDocument/2006/relationships" xmlns="http://schemas.openxmlformats.org/spreadsheetml/2006/main" refreshedBy="Excel Services" refreshedDate="46174.50609733797" createdVersion="6" refreshedVersion="8" minRefreshableVersion="3" recordCount="68" r:id="rId1">
  <cacheSource type="worksheet">
    <worksheetSource ref="R1:AE1048576" sheet="Phoenix - Forms"/>
  </cacheSource>
  <cacheFields count="14">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1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4" r:id="rId1">
  <cacheSource type="worksheet">
    <worksheetSource ref="T1:AH5" sheet="Partner Central"/>
  </cacheSource>
  <cacheFields count="15">
    <cacheField name="Week Starting On" uniqueList="1" numFmtId="0" sqlType="0" hierarchy="0" level="0" databaseField="1">
      <sharedItems count="4">
        <s v="PART 2021: 3.1  (3.10 - 3.24)"/>
        <s v="PART 2021: 3.2 (3.24 - 4.7)"/>
        <s v="PART 2021: 4.1 (4.7 - 4.21)"/>
        <s v="PART 2021: 4.2 (4.21 - 5.5)"/>
      </sharedItems>
    </cacheField>
    <cacheField name="Planned Story points" uniqueList="1" numFmtId="0" sqlType="0" hierarchy="0" level="0" databaseField="1">
      <sharedItems count="0" containsInteger="1" containsNumber="1" containsSemiMixedTypes="0" containsString="0" minValue="25" maxValue="63"/>
    </cacheField>
    <cacheField name="Actual Delivered" uniqueList="1" numFmtId="0" sqlType="0" hierarchy="0" level="0" databaseField="1">
      <sharedItems count="0" containsInteger="1" containsNumber="1" containsSemiMixedTypes="0" containsString="0" minValue="4" maxValue="25"/>
    </cacheField>
    <cacheField name="V2" uniqueList="1" numFmtId="0" sqlType="0" hierarchy="0" level="0" databaseField="1">
      <sharedItems count="0" containsInteger="1" containsNumber="1" containsSemiMixedTypes="0" containsString="0" minValue="0" maxValue="10"/>
    </cacheField>
    <cacheField name="LT" uniqueList="1" numFmtId="0" sqlType="0" hierarchy="0" level="0" databaseField="1">
      <sharedItems count="0" containsInteger="1" containsNumber="1" containsSemiMixedTypes="0" containsString="0" minValue="4" maxValue="19"/>
    </cacheField>
    <cacheField name="Rework" uniqueList="1" numFmtId="0" sqlType="0" hierarchy="0" level="0" databaseField="1">
      <sharedItems count="0" containsInteger="1" containsNumber="1" containsSemiMixedTypes="0" containsString="0" minValue="0" maxValue="10"/>
    </cacheField>
    <cacheField name="Reopened SP (LT)" uniqueList="1" numFmtId="0" sqlType="0" hierarchy="0" level="0" databaseField="1">
      <sharedItems count="0" containsInteger="1" containsNumber="1" containsSemiMixedTypes="0" containsString="0" minValue="0" maxValue="8"/>
    </cacheField>
    <cacheField name="V2 Carryover" uniqueList="1" numFmtId="0" sqlType="0" hierarchy="0" level="0" databaseField="1">
      <sharedItems count="0" containsInteger="1" containsNumber="1" containsSemiMixedTypes="0" containsString="0" minValue="8" maxValue="20"/>
    </cacheField>
    <cacheField name="LT Carryover" uniqueList="1" numFmtId="0" sqlType="0" hierarchy="0" level="0" databaseField="1">
      <sharedItems count="0" containsInteger="1" containsNumber="1" containsSemiMixedTypes="0" containsString="0" minValue="8" maxValue="20"/>
    </cacheField>
    <cacheField name="QA Passed" uniqueList="1" numFmtId="0" sqlType="0" hierarchy="0" level="0" databaseField="1">
      <sharedItems count="0" containsInteger="1" containsNumber="1" containsSemiMixedTypes="0" containsString="0" minValue="0" maxValue="3"/>
    </cacheField>
    <cacheField name="V2 Reopen Percentage" uniqueList="1" numFmtId="9" sqlType="0" hierarchy="0" level="0" databaseField="1">
      <sharedItems count="0" containsInteger="1" containsNumber="1" containsSemiMixedTypes="0" containsString="0" minValue="0" maxValue="1"/>
    </cacheField>
    <cacheField name="LT Reopen Percentage" uniqueList="1" numFmtId="9" sqlType="0" hierarchy="0" level="0" databaseField="1">
      <sharedItems count="0" containsNumber="1" containsSemiMixedTypes="0" containsString="0" minValue="0" maxValue="0.7272727272727273"/>
    </cacheField>
    <cacheField name="V2 Carryover Percentage" uniqueList="1" numFmtId="9" sqlType="0" hierarchy="0" level="0" databaseField="1">
      <sharedItems count="0" containsNumber="1" containsSemiMixedTypes="0" containsString="0" minValue="0.8" maxValue="5"/>
    </cacheField>
    <cacheField name="LT Carryover Percentage" uniqueList="1" numFmtId="9" sqlType="0" hierarchy="0" level="0" databaseField="1">
      <sharedItems count="0" containsNumber="1" containsSemiMixedTypes="0" containsString="0" minValue="0.5333333333333333" maxValue="2.25"/>
    </cacheField>
    <cacheField name="Planned Vs Completed ratio" uniqueList="1" numFmtId="9" sqlType="0" hierarchy="0" level="0" databaseField="1">
      <sharedItems count="0" containsNumber="1" containsSemiMixedTypes="0" containsString="0" minValue="0.16" maxValue="0.6097560975609756"/>
    </cacheField>
  </cacheFields>
</pivotCacheDefinition>
</file>

<file path=xl/pivotCache/pivotCacheDefinition17.xml><?xml version="1.0" encoding="utf-8"?>
<pivotCacheDefinition xmlns:r="http://schemas.openxmlformats.org/officeDocument/2006/relationships" xmlns="http://schemas.openxmlformats.org/spreadsheetml/2006/main" refreshedBy="Excel Services" refreshedDate="46174.50567349537" createdVersion="6" refreshedVersion="8" minRefreshableVersion="3" recordCount="68" r:id="rId1">
  <cacheSource type="worksheet">
    <worksheetSource ref="R1:AA1048576" sheet="Phoenix - Forms"/>
  </cacheSource>
  <cacheFields count="10">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s>
</pivotCacheDefinition>
</file>

<file path=xl/pivotCache/pivotCacheDefinition18.xml><?xml version="1.0" encoding="utf-8"?>
<pivotCacheDefinition xmlns:r="http://schemas.openxmlformats.org/officeDocument/2006/relationships" xmlns="http://schemas.openxmlformats.org/spreadsheetml/2006/main" refreshedBy="Excel Services" refreshedDate="46174.72962002315" createdVersion="8" refreshedVersion="8" minRefreshableVersion="3" recordCount="76" r:id="rId1">
  <cacheSource type="worksheet">
    <worksheetSource ref="R1:AF1048576" sheet="Flex"/>
  </cacheSource>
  <cacheFields count="15">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 name="Planned Vs Completed ratio" uniqueList="1" numFmtId="0" sqlType="0" hierarchy="0" level="0" databaseField="1">
      <sharedItems count="0" containsBlank="1" containsNumber="1" containsString="0" minValue="0.5272727272727272" maxValue="0.8809523809523809"/>
    </cacheField>
  </cacheFields>
</pivotCacheDefinition>
</file>

<file path=xl/pivotCache/pivotCacheDefinition19.xml><?xml version="1.0" encoding="utf-8"?>
<pivotCacheDefinition xmlns:r="http://schemas.openxmlformats.org/officeDocument/2006/relationships" xmlns="http://schemas.openxmlformats.org/spreadsheetml/2006/main" refreshedBy="Excel Services" refreshedDate="46174.72893912037" createdVersion="8" refreshedVersion="8" minRefreshableVersion="3" recordCount="76" r:id="rId1">
  <cacheSource type="worksheet">
    <worksheetSource ref="R1:AA1048576" sheet="Flex"/>
  </cacheSource>
  <cacheFields count="10">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3.14 - 3.28" u="1"/>
        <s v="SNAPPL 3/1: 2.2 - 3.14"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s>
</pivotCacheDefinition>
</file>

<file path=xl/pivotCache/pivotCacheDefinition20.xml><?xml version="1.0" encoding="utf-8"?>
<pivotCacheDefinition xmlns:r="http://schemas.openxmlformats.org/officeDocument/2006/relationships" xmlns="http://schemas.openxmlformats.org/spreadsheetml/2006/main" refreshedBy="Excel Services" refreshedDate="46174.72944872685" createdVersion="8" refreshedVersion="8" minRefreshableVersion="3" recordCount="76" r:id="rId1">
  <cacheSource type="worksheet">
    <worksheetSource ref="R1:AE1048576" sheet="Flex"/>
  </cacheSource>
  <cacheFields count="14">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s>
</pivotCacheDefinition>
</file>

<file path=xl/pivotCache/pivotCacheDefinition2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59" r:id="rId1">
  <cacheSource type="worksheet">
    <worksheetSource ref="T1:AG1048576" sheet="Pre-Prime"/>
  </cacheSource>
  <cacheFields count="14">
    <cacheField name="Week Starting On" uniqueList="1" numFmtId="0" sqlType="0" hierarchy="0" level="0" databaseField="1">
      <sharedItems count="69"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4/13 - 4/27" u="1"/>
        <s v="2021: SUB 5/25 - 6/8" u="1"/>
        <s v="2020: SUB 10/15 -10/27" u="1"/>
        <s v="2021: SUB 3/2 - 3/16" u="1"/>
        <s v="2020: SUB 5/6 - 5/20" u="1"/>
        <s v="2020: SUB 6/17 - 7/1" u="1"/>
        <s v="2020: SUB 5/20 - 6/3" u="1"/>
        <s v="2021: SUB 3/16 - 3/30" u="1"/>
        <s v="2021: SUB 2/16 - 3/2" u="1"/>
        <s v="2020: SUB 6/3 - 6/17" u="1"/>
        <s v="2020:SUB 10/15 -10/27" u="1"/>
        <s v="2020: SUB 11/10 -11/24" u="1"/>
        <s v="2020: SUB 9/9 - 10/1" u="1"/>
        <s v="2021: SUB 2/2 - 2/16" u="1"/>
        <s v="2021: SUB 6/8 - 6/22" u="1"/>
        <s v="2020: SUB 7/1 - 7/15" u="1"/>
        <s v="2020: SUB 10/27 -11/10" u="1"/>
        <s v="2020:SUB 9/9 - 10/1" u="1"/>
        <s v="2020: SUB 8/12 - 8/26" u="1"/>
        <s v="2020:SUB 10/1 - 10/15" u="1"/>
        <s v="2021: SUB 7/20 - 8/17" u="1"/>
        <s v="2021: SUB 8/31 - 9/14" u="1"/>
        <s v="2020: SUB 7/15 - 7/29" u="1"/>
        <s v="2020: SUB 7/29 - 8/12" u="1"/>
        <s v="2021: SUB 4/27 - 5/11" u="1"/>
        <s v="2021: SUB 12/21 - 01/04" u="1"/>
        <s v="2021: SUB 7/6 - 7/20" u="1"/>
        <s v="2020: SUB 9/9 - 29/9" u="1"/>
        <s v="2020: SUB 1/05 - 1/19" u="1"/>
        <s v="2021: SUB 5/11 - 5/25" u="1"/>
        <s v="2021: SUB 11/23 - 12/7" u="1"/>
        <s v="2020: SUB 10/1 - 10/15" u="1"/>
        <s v="2021: OCR 9/28 - 10/12" u="1"/>
        <s v="2021: SUB 9/28 - 10/12" u="1"/>
        <s v="2021: SUB 10/26- 11/9" u="1"/>
        <s v="2021: OCR 10/12 - 10/26" u="1"/>
        <s v="2021: SUB 10/12 - 10/26" u="1"/>
        <s v="2020: SUB 12/08 - 1/05" u="1"/>
        <s v="2021: SUB 6/22 - 7/6" u="1"/>
        <s v="2021: SUB 3/30 - 4/13" u="1"/>
        <s v="2021: OCR 9/14 - 9/28" u="1"/>
        <s v="2021: SUB 9/14 - 9/28" u="1"/>
        <s v="2020: SUB 8/26 - 9/9" u="1"/>
        <s v="2021: SUB 8/17 - 8/ 31" u="1"/>
        <s v="2020: SUB 11/24 - 12/08" u="1"/>
        <s v="2021: SUB 11/9 - 11/23" u="1"/>
        <s v="2020: SUB 1/19 - 2/2" u="1"/>
        <s v="2021: SUB 12/7 - 12/21" u="1"/>
        <s v="2020: SUB 4/08 - 4/22" u="1"/>
        <s v="2020: SUB 4/22 - 5/06"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s>
</pivotCacheDefinition>
</file>

<file path=xl/pivotCache/pivotCacheDefinition2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48" r:id="rId1">
  <cacheSource type="worksheet">
    <worksheetSource ref="T1:AC1048576" sheet="Pre-Prime"/>
  </cacheSource>
  <cacheFields count="10">
    <cacheField name="Week Starting On" uniqueList="1" numFmtId="0" sqlType="0" hierarchy="0" level="0" databaseField="1">
      <sharedItems count="67"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 SUB 11/24 - 12/08" u="1"/>
        <s v="2020: SUB 8/12 - 8/26" u="1"/>
        <s v="2021: SUB 3/16 - 3/30"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s>
</pivotCacheDefinition>
</file>

<file path=xl/pivotCache/pivotCacheDefinition23.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59" r:id="rId1">
  <cacheSource type="worksheet">
    <worksheetSource ref="T1:AH1048576" sheet="Pre-Prime"/>
  </cacheSource>
  <cacheFields count="15">
    <cacheField name="Week Starting On" uniqueList="1" numFmtId="0" sqlType="0" hierarchy="0" level="0" databaseField="1">
      <sharedItems count="70"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0:SUB 10/1 - 10/15"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SUB 10/15 -10/27" u="1"/>
        <s v="2020: SUB 11/24 - 12/08" u="1"/>
        <s v="2020: SUB 8/12 - 8/26" u="1"/>
        <s v="2021: SUB 3/16 - 3/30" u="1"/>
        <s v="2020:SUB 9/9 - 10/1"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 name="Planned Vs Completed ratio" uniqueList="1" numFmtId="0" sqlType="0" hierarchy="0" level="0" databaseField="1">
      <sharedItems count="0" containsBlank="1" containsNumber="1" containsString="0" minValue="0.38" maxValue="1"/>
    </cacheField>
  </cacheFields>
</pivotCacheDefinition>
</file>

<file path=xl/pivotCache/pivotCacheDefinition24.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99" r:id="rId1">
  <cacheSource type="worksheet">
    <worksheetSource ref="T1:AH100"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5.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ref="T1:AH1048576"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name="'Partner Central'!$T:$AH"/>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7.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C1048576" sheet="Web Analytics"/>
  </cacheSource>
  <cacheFields count="10">
    <cacheField name="Week Starting On" uniqueList="1" numFmtId="0" sqlType="0" hierarchy="0" level="0" databaseField="1">
      <sharedItems count="192"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6/22 - 6/29" u="1"/>
        <s v="DWA: 11/30 - 12/7" u="1"/>
        <s v="DWA: 9/28 - 10/05" u="1"/>
        <s v="DWA:11/08-11/15 21" u="1"/>
        <s v="DWA:11/22-11/29 2021" u="1"/>
        <s v="DWA-11/20 - 11/26 2022" u="1"/>
        <s v="DWA:3/22-3/29" u="1"/>
        <s v="DWA: 9/14 - 9/21" u="1"/>
        <s v="DWA: 11/16 - 11/23" u="1"/>
        <s v="DWA: 11/29 - 12/06" u="1"/>
        <s v="DWA: 12/28- 1/4" u="1"/>
        <s v="DWA: 6/01 - 6/08" u="1"/>
        <s v="DWA: 7/06 - 7/13" u="1"/>
        <s v="DWA:9/4-10/11 21" u="1"/>
        <s v="DWA:4/5-4/12" u="1"/>
        <s v="DWA:5/24-5/31" u="1"/>
        <s v="DWA:9/4-10/11" u="1"/>
        <s v="DWA: 12/14 - 12/21" u="1"/>
        <s v="DWA:7/12-7/19" u="1"/>
        <s v="DWA:9/13-9/20 21" u="1"/>
        <s v="DWA:10/11-10/18 21" u="1"/>
        <s v="DWA:11/22-11/29 21" u="1"/>
        <s v="DWA-11/13 - 11/19 2022" u="1"/>
        <s v="DWA:9/6-9/13 21" u="1"/>
        <s v="DWA: 10/19 - 10/26" u="1"/>
        <s v="DWA: 3/1-3/8" u="1"/>
        <s v="DWA: 5/18 - 5/25" u="1"/>
        <s v="DWA: 12/7 - 12/14" u="1"/>
        <s v="DWA: 11/29 - 12/06 2021" u="1"/>
        <s v="DWA: 6/29 - 7/06" u="1"/>
        <s v="DWA:4/26-5/3" u="1"/>
        <s v="DWA:7/19-7/26" u="1"/>
        <s v="DWA: 1/11-1/18" u="1"/>
        <s v="DWA: 4/13 - 4/20" u="1"/>
        <s v="DWA:9/20-9/27" u="1"/>
        <s v="DWA: 9/21 - 9/28" u="1"/>
        <s v="DWA:5/3-5/10" u="1"/>
        <s v="DWA:4/12-4/19" u="1"/>
        <s v="DWA:09/04 - 09/10 2022" u="1"/>
        <s v="DWA:12/25 - 12/31 2022" u="1"/>
        <s v="DWA:6/14-6/21" u="1"/>
        <s v="DWA:9/27-10/4" u="1"/>
        <s v="DWA:9/20-9/27 21" u="1"/>
        <s v="DWA:09/25 - 10/01 2022" u="1"/>
        <s v="DWA:7/26-8/2" u="1"/>
        <s v="DWA:8/2-8/9 21" u="1"/>
        <s v="DWA: 11/2 - 11/9" u="1"/>
        <s v="DWA: 8/17 - 8/24" u="1"/>
        <s v="DWA: 12/21- 12/28" u="1"/>
        <s v="DWA:08/14 - 08/20 2022" u="1"/>
        <s v="DWA: 7/13 - 7/20" u="1"/>
        <s v="DWA: 1/25-2/1" u="1"/>
        <s v="DWA:4/19-4/26" u="1"/>
        <s v="DWA: 8/31 - 9/07" u="1"/>
        <s v="DWA:08/28 - 09/03 2022" u="1"/>
        <s v="DWA:12/18 - 12/24 2022" u="1"/>
        <s v="DWA:9/6-9/13" u="1"/>
        <s v="DWA:07/24 - 07/30 2022" u="1"/>
        <s v="DWA: 12/27 - 01/03" u="1"/>
        <s v="DWA:08/07 - 08/13 2022" u="1"/>
        <s v="DWA: 4/20 - 4/27" u="1"/>
        <s v="DWA:9/27-10/4 21" u="1"/>
        <s v="DWA:11/15-11/22 2021" u="1"/>
        <s v="DWA:6/7-6/14" u="1"/>
        <s v="DWA:10/4-10/11 21" u="1"/>
        <s v="DWA: 2/22-3/1" u="1"/>
        <s v="DWA: 2/15-2/22" u="1"/>
        <s v="DWA: 6/08 - 6/15" u="1"/>
        <s v="DWA:07/17 - 07/23 2022" u="1"/>
        <s v="DWA: 5/04 - 5/11" u="1"/>
        <s v="DWA-11/27 - 12/03 2022" u="1"/>
        <s v="DWA:11/06 - 11/12 2022" u="1"/>
        <s v="DWA: 7/27 - 8/03" u="1"/>
        <s v="DWA: 11/23 - 11/30" u="1"/>
        <s v="DWA: 12/06 - 12/13" u="1"/>
        <s v="DWA:07/31 - 08/06 2022" u="1"/>
        <s v="DWA:11/15-11/22 21" u="1"/>
        <s v="DWA:11/01-11/08 21" u="1"/>
        <s v="DWA:10/16 - 10/22 2022" u="1"/>
        <s v="DWA: 2/8-2/15" u="1"/>
        <s v="DWA:07/10 - 07/16 2022" u="1"/>
        <s v="DWA:8/16-8/23" u="1"/>
        <s v="DWA:8/9-8/16 21" u="1"/>
        <s v="DWA:8/16-8/23 21" u="1"/>
        <s v="DWA:10/30 - 11/05 2022" u="1"/>
        <s v="DWA: 12/13 - 12/20 2021" u="1"/>
        <s v="DWA:5/31-6/7" u="1"/>
        <s v="DWA: 4/27 - 5/04" u="1"/>
        <s v="DWA:09/18 - 09/24 2022" u="1"/>
        <s v="DWA: 7/20 - 7/27" u="1"/>
        <s v="DWA:10/18-10/25 21" u="1"/>
        <s v="DWA:10/09 - 10/15 2022" u="1"/>
        <s v="DWA:8/23-8/30 21" u="1"/>
        <s v="DWA:07/03 - 07/09 2022" u="1"/>
        <s v="DWA:8/2-8/9" u="1"/>
        <s v="DWA:6/21-6/28" u="1"/>
        <s v="DWA:9/11-10/18 21" u="1"/>
        <s v="DWA-08/14 - 08/20 2022" u="1"/>
        <s v="DWA:09/11 - 09/17 2022" u="1"/>
        <s v="DWA:8/30-9/6 21" u="1"/>
        <s v="DWA: 12/20 - 12/27 2021" u="1"/>
        <s v="DWA:7/5-7/12" u="1"/>
        <s v="DWA: 3/8-3/15" u="1"/>
        <s v="DWA:8/23-8/30" u="1"/>
        <s v="DWA:10/02 - 10/08 2022" u="1"/>
        <s v="DWA: 1/4-1/11" u="1"/>
        <s v="DWA: 8/24 - 8/31" u="1"/>
        <s v="DWA:08/21 - 08/27 2022" u="1"/>
        <s v="DWA: 5/11 - 5/18" u="1"/>
        <s v="DWA: 06/26 - 07/2 2022" u="1"/>
        <s v="DWA: 9/07 - 9/14" u="1"/>
        <s v="DWA:3/15-3/22" u="1"/>
        <s v="DWA: 8/03 - 8/10" u="1"/>
        <s v="DWA: 6/15 - 6/22" u="1"/>
        <s v="DWA: 10/12 - 10/19" u="1"/>
        <s v="DWA:9/11-10/18" u="1"/>
        <s v="DWA: 10/26 - 11/2" u="1"/>
        <s v="DWA: 12/20 - 12/27" u="1"/>
        <s v="DWA: 12/06 - 12/13 2021" u="1"/>
        <s v="DWA:6/28-7/5" u="1"/>
        <s v="DWA:8/9-8/16" u="1"/>
        <s v="DWA: 11/9 - 11/16" u="1"/>
        <s v="DWA:10/23 - 10/29 2022" u="1"/>
        <s v="DWA: 12/27 - 01/03 2021" u="1"/>
        <s v="DWA:3/29-4/5" u="1"/>
        <s v="DWA:5/10-5/17" u="1"/>
        <s v="DWA: 10/5 - 10/12" u="1"/>
        <s v="DWA: 1/18-1/25" u="1"/>
        <s v="DWA: 4/06 - 4/13" u="1"/>
        <s v="DWA:9/13-9/20" u="1"/>
        <s v="DWA: 5/25 - 6/01" u="1"/>
        <s v="DWA: 8/10 - 8/17" u="1"/>
        <s v="DWA:8/30-9/6" u="1"/>
        <s v="DWA:5/17-5/24" u="1"/>
        <s v="DWA:10/25-11/01 21" u="1"/>
        <s v="DWA: 12/13 - 12/20"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s>
</pivotCacheDefinition>
</file>

<file path=xl/pivotCache/pivotCacheDefinition28.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I1048576" sheet="Web Analytics"/>
  </cacheSource>
  <cacheFields count="16">
    <cacheField name="Week Starting On" uniqueList="1" numFmtId="0" sqlType="0" hierarchy="0" level="0" databaseField="1">
      <sharedItems count="177"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9/07 - 9/14" u="1"/>
        <s v="DWA:10/11-10/18 21" u="1"/>
        <s v="DWA:11/15-11/22 2021" u="1"/>
        <s v="DWA: 7/13 - 7/20" u="1"/>
        <s v="DWA: 7/20 - 7/27" u="1"/>
        <s v="DWA: 11/16 - 11/23" u="1"/>
        <s v="DWA:8/9-8/16 21" u="1"/>
        <s v="DWA: 9/28 - 10/05" u="1"/>
        <s v="DWA: 1/25-2/1" u="1"/>
        <s v="DWA: 12/21- 12/28" u="1"/>
        <s v="DWA:8/23-8/30" u="1"/>
        <s v="DWA: 5/04 - 5/11" u="1"/>
        <s v="DWA: 5/11 - 5/18" u="1"/>
        <s v="DWA: 12/7 - 12/14" u="1"/>
        <s v="DWA:7/12-7/19" u="1"/>
        <s v="DWA: 11/9 - 11/16" u="1"/>
        <s v="DWA: 2/8-2/15" u="1"/>
        <s v="DWA: 4/13 - 4/20" u="1"/>
        <s v="DWA: 4/20 - 4/27" u="1"/>
        <s v="DWA:8/23-8/30 21" u="1"/>
        <s v="DWA:8/30-9/6 21" u="1"/>
        <s v="DWA:8/9-8/16" u="1"/>
        <s v="DWA: 8/31 - 9/07" u="1"/>
        <s v="DWA: 10/19 - 10/26" u="1"/>
        <s v="DWA: 11/30 - 12/7" u="1"/>
        <s v="DWA:8/2-8/9" u="1"/>
        <s v="DWA: 3/8-3/15" u="1"/>
        <s v="DWA:11/15-11/22 21" u="1"/>
        <s v="DWA:3/29-4/5" u="1"/>
        <s v="DWA:3/22-3/29" u="1"/>
        <s v="DWA: 12/14 - 12/21" u="1"/>
        <s v="DWA:8/16-8/23" u="1"/>
        <s v="DWA: 7/27 - 8/03" u="1"/>
        <s v="DWA: 9/14 - 9/21" u="1"/>
        <s v="DWA:7/19-7/26" u="1"/>
        <s v="DWA: 9/21 - 9/28" u="1"/>
        <s v="DWA:11/22-11/29 2021" u="1"/>
        <s v="DWA: 2/15-2/22" u="1"/>
        <s v="DWA:8/16-8/23 21" u="1"/>
        <s v="DWA: 11/29 - 11/06" u="1"/>
        <s v="DWA: 8/17 - 8/24" u="1"/>
        <s v="DWA: 11/2 - 11/9" u="1"/>
        <s v="DWA: 6/29 - 7/06" u="1"/>
        <s v="DWA:9/6-9/13 21" u="1"/>
        <s v="DWA-08/14 - 08/20 2022" u="1"/>
        <s v="DWA:4/12-4/19" u="1"/>
        <s v="DWA: 6/08 - 6/15" u="1"/>
        <s v="DWA:8/2-8/9 21" u="1"/>
        <s v="DWA: 12/13 - 12/20 2021" u="1"/>
        <s v="DWA: 10/12 - 10/19" u="1"/>
        <s v="DWA: 12/20 - 12/27 2021" u="1"/>
        <s v="DWA: 2/1-2/8" u="1"/>
        <s v="DWA:4/5-4/12" u="1"/>
        <s v="DWA: 1/11-1/18" u="1"/>
        <s v="DWA:3/15-3/22" u="1"/>
        <s v="DWA:11/22-11/29 21" u="1"/>
        <s v="DWA: 12/06 - 12/13 2021" u="1"/>
        <s v="DWA:11/08-11/15 21" u="1"/>
        <s v="DWA:9/20-9/27 21" u="1"/>
        <s v="DWA:6/28-7/5" u="1"/>
        <s v="DWA:5/3-5/10" u="1"/>
        <s v="DWA: 12/27 - 01/03 2021" u="1"/>
        <s v="DWA:10/25-11/01 21" u="1"/>
        <s v="DWA:10/4-10/11 21" u="1"/>
        <s v="DWA: 8/03 - 8/10" u="1"/>
        <s v="DWA: 3/1-3/8" u="1"/>
        <s v="DWA: 8/10 - 8/17" u="1"/>
        <s v="DWA:6/21-6/28" u="1"/>
        <s v="DWA: 11/29 - 12/06 2021" u="1"/>
        <s v="DWA:4/19-4/26" u="1"/>
        <s v="DWA: 6/01 - 6/08" u="1"/>
        <s v="DWA: 5/25 - 6/01" u="1"/>
        <s v="DWA:5/31-6/7" u="1"/>
        <s v="DWA:10/18-10/25 21" u="1"/>
        <s v="DWA: 10/5 - 10/12" u="1"/>
        <s v="DWA:5/24-5/31" u="1"/>
        <s v="DWA: 7/06 - 7/13" u="1"/>
        <s v="DWA:7/26-8/2" u="1"/>
        <s v="DWA:5/10-5/17" u="1"/>
        <s v="DWA: 8/24 - 8/31" u="1"/>
        <s v="DWA:4/26-5/3" u="1"/>
        <s v="DWA: 11/23 - 11/30" u="1"/>
        <s v="DWA: 6/15 - 6/22" u="1"/>
        <s v="DWA: 4/27 - 5/04" u="1"/>
        <s v="DWA: 6/22 - 6/29" u="1"/>
        <s v="DWA: 1/4-1/11" u="1"/>
        <s v="DWA: 4/06 - 4/13" u="1"/>
        <s v="DWA: 2/22-3/1" u="1"/>
        <s v="DWA:6/7-6/14" u="1"/>
        <s v="DWA:9/27-10/4 21" u="1"/>
        <s v="DWA:9/13-9/20 21" u="1"/>
        <s v="DWA: 5/18 - 5/25" u="1"/>
        <s v="DWA: 12/28- 1/4" u="1"/>
        <s v="DWA:11/01-11/08 21" u="1"/>
        <s v="DWA:6/14-6/21" u="1"/>
        <s v="DWA-08/21 - 08/27 2022" u="1"/>
        <s v="DWA:7/5-7/12" u="1"/>
        <s v="DWA:5/17-5/24" u="1"/>
        <s v="DWA: 1/18-1/25" u="1"/>
        <s v="DWA: 10/26 - 11/2"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 name="Planned Vs Completed ratio" uniqueList="1" numFmtId="0" sqlType="0" hierarchy="0" level="0" databaseField="1">
      <sharedItems count="0" containsBlank="1" containsInteger="1" containsNumber="1" containsString="0" minValue="0" maxValue="1"/>
    </cacheField>
    <cacheField name="Old Dates" uniqueList="1" numFmtId="0" sqlType="0" hierarchy="0" level="0" databaseField="1">
      <sharedItems count="0" containsBlank="1" containsNonDate="0" containsString="0"/>
    </cacheField>
  </cacheFields>
</pivotCacheDefinition>
</file>

<file path=xl/pivotCache/pivotCacheDefinition29.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128" r:id="rId1">
  <cacheSource type="worksheet">
    <worksheetSource ref="T1:AG1048576" sheet="Web Analytics"/>
  </cacheSource>
  <cacheFields count="14">
    <cacheField name="Week Starting On" uniqueList="1" numFmtId="0" sqlType="0" hierarchy="0" level="0" databaseField="1">
      <sharedItems count="174"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6/22 - 6/29" u="1"/>
        <s v="DWA: 11/30 - 12/7" u="1"/>
        <s v="DWA: 9/28 - 10/05" u="1"/>
        <s v="DWA:11/08-11/15 21" u="1"/>
        <s v="DWA:11/22-11/29 2021" u="1"/>
        <s v="DWA:3/22-3/29" u="1"/>
        <s v="DWA: 9/14 - 9/21" u="1"/>
        <s v="DWA: 11/16 - 11/23" u="1"/>
        <s v="DWA: 12/28- 1/4" u="1"/>
        <s v="DWA: 6/01 - 6/08" u="1"/>
        <s v="DWA: 7/06 - 7/13" u="1"/>
        <s v="DWA:4/5-4/12" u="1"/>
        <s v="DWA:5/24-5/31" u="1"/>
        <s v="DWA: 12/14 - 12/21" u="1"/>
        <s v="DWA:7/12-7/19" u="1"/>
        <s v="DWA:9/13-9/20 21" u="1"/>
        <s v="DWA:10/11-10/18 21" u="1"/>
        <s v="DWA:9/6-9/13 21" u="1"/>
        <s v="DWA: 10/19 - 10/26" u="1"/>
        <s v="DWA: 3/1-3/8" u="1"/>
        <s v="DWA: 5/18 - 5/25" u="1"/>
        <s v="DWA: 12/7 - 12/14" u="1"/>
        <s v="DWA: 11/29 - 12/06 2021" u="1"/>
        <s v="DWA: 6/29 - 7/06" u="1"/>
        <s v="DWA:4/26-5/3" u="1"/>
        <s v="DWA:7/19-7/26" u="1"/>
        <s v="DWA: 1/11-1/18" u="1"/>
        <s v="DWA: 4/13 - 4/20" u="1"/>
        <s v="DWA: 9/21 - 9/28" u="1"/>
        <s v="DWA:5/3-5/10" u="1"/>
        <s v="DWA:4/12-4/19" u="1"/>
        <s v="DWA:6/14-6/21" u="1"/>
        <s v="DWA:9/20-9/27 21" u="1"/>
        <s v="DWA:7/26-8/2" u="1"/>
        <s v="DWA:8/2-8/9 21" u="1"/>
        <s v="DWA: 11/2 - 11/9" u="1"/>
        <s v="DWA: 8/17 - 8/24" u="1"/>
        <s v="DWA: 12/21- 12/28" u="1"/>
        <s v="DWA: 7/13 - 7/20" u="1"/>
        <s v="DWA: 1/25-2/1" u="1"/>
        <s v="DWA:4/19-4/26" u="1"/>
        <s v="DWA: 8/31 - 9/07" u="1"/>
        <s v="DWA: 4/20 - 4/27" u="1"/>
        <s v="DWA:9/27-10/4 21" u="1"/>
        <s v="DWA:11/15-11/22 2021" u="1"/>
        <s v="DWA:6/7-6/14" u="1"/>
        <s v="DWA:10/4-10/11 21" u="1"/>
        <s v="DWA: 2/22-3/1" u="1"/>
        <s v="DWA: 2/15-2/22" u="1"/>
        <s v="DWA: 6/08 - 6/15" u="1"/>
        <s v="DWA: 5/04 - 5/11" u="1"/>
        <s v="DWA: 7/27 - 8/03" u="1"/>
        <s v="DWA: 11/23 - 11/30" u="1"/>
        <s v="DWA:11/01-11/08 21" u="1"/>
        <s v="DWA: 2/8-2/15" u="1"/>
        <s v="DWA:8/16-8/23" u="1"/>
        <s v="DWA:8/9-8/16 21" u="1"/>
        <s v="DWA:8/16-8/23 21" u="1"/>
        <s v="DWA: 12/13 - 12/20 2021" u="1"/>
        <s v="DWA:5/31-6/7" u="1"/>
        <s v="DWA: 4/27 - 5/04" u="1"/>
        <s v="DWA: 7/20 - 7/27" u="1"/>
        <s v="DWA:10/18-10/25 21" u="1"/>
        <s v="DWA:8/23-8/30 21" u="1"/>
        <s v="DWA:8/2-8/9" u="1"/>
        <s v="DWA:6/21-6/28" u="1"/>
        <s v="DWA-08/14 - 08/20 2022" u="1"/>
        <s v="DWA:8/30-9/6 21" u="1"/>
        <s v="DWA: 12/20 - 12/27 2021" u="1"/>
        <s v="DWA:7/5-7/12" u="1"/>
        <s v="DWA: 3/8-3/15" u="1"/>
        <s v="DWA:8/23-8/30" u="1"/>
        <s v="DWA: 1/4-1/11" u="1"/>
        <s v="DWA: 8/24 - 8/31" u="1"/>
        <s v="DWA: 5/11 - 5/18" u="1"/>
        <s v="DWA: 9/07 - 9/14" u="1"/>
        <s v="DWA:3/15-3/22" u="1"/>
        <s v="DWA: 8/03 - 8/10" u="1"/>
        <s v="DWA: 6/15 - 6/22" u="1"/>
        <s v="DWA: 10/12 - 10/19" u="1"/>
        <s v="DWA: 10/26 - 11/2" u="1"/>
        <s v="DWA: 12/06 - 12/13 2021" u="1"/>
        <s v="DWA:6/28-7/5" u="1"/>
        <s v="DWA:8/9-8/16" u="1"/>
        <s v="DWA: 11/9 - 11/16" u="1"/>
        <s v="DWA: 12/27 - 01/03 2021" u="1"/>
        <s v="DWA:3/29-4/5" u="1"/>
        <s v="DWA:5/10-5/17" u="1"/>
        <s v="DWA: 10/5 - 10/12" u="1"/>
        <s v="DWA: 1/18-1/25" u="1"/>
        <s v="DWA: 4/06 - 4/13" u="1"/>
        <s v="DWA: 5/25 - 6/01" u="1"/>
        <s v="DWA: 8/10 - 8/17" u="1"/>
        <s v="DWA:5/17-5/24" u="1"/>
        <s v="DWA:10/25-11/01 21"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s>
</pivotCacheDefinition>
</file>

<file path=xl/pivotCache/pivotCacheDefinition3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32" r:id="rId1">
  <cacheSource type="worksheet">
    <worksheetSource ref="T1:AH1048576" sheet="Mortgage Purchase"/>
  </cacheSource>
  <cacheFields count="15">
    <cacheField name="Week Starting On" uniqueList="1" numFmtId="0" sqlType="0" hierarchy="0" level="0" databaseField="1">
      <sharedItems count="16" containsBlank="1">
        <m/>
        <s v="Mortgage Purchase Sprint 0"/>
        <s v="Mortgage Purchase Sprint 1"/>
        <s v="Mortgage Purchase Sprint 2"/>
        <s v="Mortgage Purchase Sprint 3"/>
        <s v="Mortgage Purchase Sprint 4"/>
        <s v="Mortgage Purchase Sprint 5"/>
        <s v="Mortgage Purchase Sprint 6"/>
        <s v="Mortgage Purchase Sprint 7"/>
        <s v="Mortgage Purchase Sprint 8"/>
        <s v="Mortgage Purchase Sprint 9"/>
        <s v="Mortgage Purchase Sprint 10"/>
        <s v="Mortgage Purchase Sprint 11"/>
        <s v="Mortgage Purchase Sprint 12"/>
        <s v="Mortgage Purchase Sprint 13"/>
        <s v="Mortgage Purchase Sprint 14"/>
      </sharedItems>
    </cacheField>
    <cacheField name="Planned Story Points" uniqueList="1" numFmtId="0" sqlType="0" hierarchy="0" level="0" databaseField="1">
      <sharedItems count="0" containsBlank="1" containsInteger="1" containsNumber="1" containsString="0" minValue="7" maxValue="75"/>
    </cacheField>
    <cacheField name="Actual  Delivered" uniqueList="1" numFmtId="0" sqlType="0" hierarchy="0" level="0" databaseField="1">
      <sharedItems count="0" containsBlank="1" containsInteger="1" containsNumber="1" containsString="0" minValue="7" maxValue="75"/>
    </cacheField>
    <cacheField name="V2" uniqueList="1" numFmtId="0" sqlType="0" hierarchy="0" level="0" databaseField="1">
      <sharedItems count="0" containsBlank="1" containsInteger="1" containsNumber="1" containsString="0" minValue="0" maxValue="35"/>
    </cacheField>
    <cacheField name="LT" uniqueList="1" numFmtId="0" sqlType="0" hierarchy="0" level="0" databaseField="1">
      <sharedItems count="0" containsBlank="1" containsInteger="1" containsNumber="1" containsString="0" minValue="7" maxValue="40"/>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1"/>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0" maxValue="13"/>
    </cacheField>
    <cacheField name="QA Passed" uniqueList="1" numFmtId="0" sqlType="0" hierarchy="0" level="0" databaseField="1">
      <sharedItems count="0" containsBlank="1" containsInteger="1" containsNumber="1" containsString="0" minValue="0" maxValue="28"/>
    </cacheField>
    <cacheField name="V2 Reopen Percentage" uniqueList="1" numFmtId="0" sqlType="0" hierarchy="0" level="0" databaseField="1">
      <sharedItems count="0" containsBlank="1" containsMixedTypes="1" containsNumber="1" minValue="0" maxValue="0.7272727272727273"/>
    </cacheField>
    <cacheField name="LT Reopen Percentage" uniqueList="1" numFmtId="0" sqlType="0" hierarchy="0" level="0" databaseField="1">
      <sharedItems count="0" containsBlank="1" containsNumber="1" containsString="0" minValue="0" maxValue="0.5384615384615384"/>
    </cacheField>
    <cacheField name="V2 Carryover Percentage" uniqueList="1" numFmtId="0" sqlType="0" hierarchy="0" level="0" databaseField="1">
      <sharedItems count="0" containsBlank="1" containsMixedTypes="1" containsNumber="1" minValue="0" maxValue="0.5"/>
    </cacheField>
    <cacheField name="LT Carryover Percentage" uniqueList="1" numFmtId="0" sqlType="0" hierarchy="0" level="0" databaseField="1">
      <sharedItems count="0" containsBlank="1" containsNumber="1" containsString="0" minValue="0" maxValue="0.5"/>
    </cacheField>
    <cacheField name="Planned Vs Completed ratio" uniqueList="1" numFmtId="0" sqlType="0" hierarchy="0" level="0" databaseField="1">
      <sharedItems count="0" containsBlank="1" containsNumber="1" containsString="0" minValue="0.5357142857142857" maxValue="1"/>
    </cacheField>
  </cacheFields>
</pivotCacheDefinition>
</file>

<file path=xl/pivotCache/pivotCacheDefinition3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H1048576" sheet="SnapCap"/>
  </cacheSource>
  <cacheFields count="15">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 name="Planned Vs Completed ratio" uniqueList="1" numFmtId="0" sqlType="0" hierarchy="0" level="0" databaseField="1">
      <sharedItems count="0" containsBlank="1" containsNumber="1" containsString="0" minValue="0.6388888888888888" maxValue="1.555555555555556"/>
    </cacheField>
  </cacheFields>
</pivotCacheDefinition>
</file>

<file path=xl/pivotCache/pivotCacheDefinition3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G1048576" sheet="SnapCap"/>
  </cacheSource>
  <cacheFields count="14">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s>
</pivotCacheDefinition>
</file>

<file path=xl/pivotCache/pivotCacheDefinition33.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64" r:id="rId1">
  <cacheSource type="worksheet">
    <worksheetSource ref="T1:AC1048576" sheet="SnapCap"/>
  </cacheSource>
  <cacheFields count="10">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s>
</pivotCacheDefinition>
</file>

<file path=xl/pivotCache/pivotCacheDefinition3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B1048576" sheet="LONB"/>
  </cacheSource>
  <cacheFields count="10">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s>
</pivotCacheDefinition>
</file>

<file path=xl/pivotCache/pivotCacheDefinition3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F1048576" sheet="LONB"/>
  </cacheSource>
  <cacheFields count="14">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s>
</pivotCacheDefinition>
</file>

<file path=xl/pivotCache/pivotCacheDefinition36.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G1048576" sheet="LONB"/>
  </cacheSource>
  <cacheFields count="15">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 name="Planned Vs Completed ratio" uniqueList="1" numFmtId="0" sqlType="0" hierarchy="0" level="0" databaseField="1">
      <sharedItems count="0" containsBlank="1" containsNumber="1" containsString="0" minValue="0.4605263157894737" maxValue="1.444444444444444"/>
    </cacheField>
  </cacheFields>
</pivotCacheDefinition>
</file>

<file path=xl/pivotCache/pivotCacheDefinition37.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Voltron"/>
  </cacheSource>
  <cacheFields count="14">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2"/>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38.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Voltron"/>
  </cacheSource>
  <cacheFields count="10">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s>
</pivotCacheDefinition>
</file>

<file path=xl/pivotCache/pivotCacheDefinition39.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7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10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1.xml><?xml version="1.0" encoding="utf-8"?>
<pivotCacheDefinition xmlns:r="http://schemas.openxmlformats.org/officeDocument/2006/relationships" xmlns="http://schemas.openxmlformats.org/spreadsheetml/2006/main" refreshedBy="Excel Services" refreshedDate="45301.87856030092" createdVersion="6" refreshedVersion="8" minRefreshableVersion="3" recordCount="59" r:id="rId1">
  <cacheSource type="worksheet">
    <worksheetSource ref="R1:AF1048576" sheet="MyLT-LENNY"/>
  </cacheSource>
  <cacheFields count="15">
    <cacheField name="Week Starting On" uniqueList="1" numFmtId="0" sqlType="0" hierarchy="0" level="0" databaseField="1">
      <sharedItems count="53"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 name="Planned Vs Completed ratio" uniqueList="1" numFmtId="0" sqlType="0" hierarchy="0" level="0" databaseField="1">
      <sharedItems count="0" containsBlank="1" containsNumber="1" containsString="0" minValue="0.6226415094339622" maxValue="1"/>
    </cacheField>
  </cacheFields>
</pivotCacheDefinition>
</file>

<file path=xl/pivotCache/pivotCacheDefinition42.xml><?xml version="1.0" encoding="utf-8"?>
<pivotCacheDefinition xmlns:r="http://schemas.openxmlformats.org/officeDocument/2006/relationships" xmlns="http://schemas.openxmlformats.org/spreadsheetml/2006/main" refreshedBy="Excel Services" refreshedDate="45299.58050509259" createdVersion="6" refreshedVersion="8" minRefreshableVersion="3" recordCount="59" r:id="rId1">
  <cacheSource type="worksheet">
    <worksheetSource ref="R1:AE1048576" sheet="MyLT-LENNY"/>
  </cacheSource>
  <cacheFields count="14">
    <cacheField name="Week Starting On" uniqueList="1" numFmtId="0" sqlType="0" hierarchy="0" level="0" databaseField="1">
      <sharedItems count="54"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2020 (10.1): 10/06-10/20"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s>
</pivotCacheDefinition>
</file>

<file path=xl/pivotCache/pivotCacheDefinition43.xml><?xml version="1.0" encoding="utf-8"?>
<pivotCacheDefinition xmlns:r="http://schemas.openxmlformats.org/officeDocument/2006/relationships" xmlns="http://schemas.openxmlformats.org/spreadsheetml/2006/main" refreshedBy="Excel Services" refreshedDate="46083.67269895833" createdVersion="7" refreshedVersion="8" minRefreshableVersion="3" recordCount="43" r:id="rId1">
  <cacheSource type="worksheet">
    <worksheetSource ref="T1:AG71" sheet="MyLT DASH"/>
  </cacheSource>
  <cacheFields count="14">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 name="V2 Reopen Percentage" uniqueList="1" numFmtId="0" sqlType="0" hierarchy="0" level="0" databaseField="1">
      <sharedItems count="0" containsBlank="1" containsMixedTypes="1" containsNumber="1" minValue="0" maxValue="1"/>
    </cacheField>
    <cacheField name="LT Reopen Percentage" uniqueList="1" numFmtId="0" sqlType="0" hierarchy="0" level="0" databaseField="1">
      <sharedItems count="0" containsBlank="1" containsNumber="1" containsString="0" minValue="0.07058823529411765" maxValue="0.7076923076923077"/>
    </cacheField>
    <cacheField name="V2 Carryover Percentage" uniqueList="1" numFmtId="0" sqlType="0" hierarchy="0" level="0" databaseField="1">
      <sharedItems count="0" containsBlank="1" containsMixedTypes="1" containsNumber="1" minValue="0" maxValue="1"/>
    </cacheField>
    <cacheField name="LT Carryover Percentage" uniqueList="1" numFmtId="0" sqlType="0" hierarchy="0" level="0" databaseField="1">
      <sharedItems count="0" containsBlank="1" containsNumber="1" containsString="0" minValue="0" maxValue="0.5326086956521739"/>
    </cacheField>
  </cacheFields>
</pivotCacheDefinition>
</file>

<file path=xl/pivotCache/pivotCacheDefinition4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Marvel knights"/>
  </cacheSource>
  <cacheFields count="10">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s>
</pivotCacheDefinition>
</file>

<file path=xl/pivotCache/pivotCacheDefinition4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Marvel knights"/>
  </cacheSource>
  <cacheFields count="14">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MixedTypes="1" containsNumber="1" minValue="0" maxValue="5"/>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46.xml><?xml version="1.0" encoding="utf-8"?>
<pivotCacheDefinition xmlns:r="http://schemas.openxmlformats.org/officeDocument/2006/relationships" xmlns="http://schemas.openxmlformats.org/spreadsheetml/2006/main" refreshedBy="Excel Services" refreshedDate="46174.71966736111" createdVersion="6" refreshedVersion="8" minRefreshableVersion="3" recordCount="80" r:id="rId1">
  <cacheSource type="worksheet">
    <worksheetSource ref="R1:AA1048576" sheet="CanopyNext"/>
  </cacheSource>
  <cacheFields count="10">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s>
</pivotCacheDefinition>
</file>

<file path=xl/pivotCache/pivotCacheDefinition47.xml><?xml version="1.0" encoding="utf-8"?>
<pivotCacheDefinition xmlns:r="http://schemas.openxmlformats.org/officeDocument/2006/relationships" xmlns="http://schemas.openxmlformats.org/spreadsheetml/2006/main" refreshedBy="Excel Services" refreshedDate="46174.72007928241" createdVersion="6" refreshedVersion="8" minRefreshableVersion="3" recordCount="80" r:id="rId1">
  <cacheSource type="worksheet">
    <worksheetSource ref="R1:AE1048576" sheet="CanopyNext"/>
  </cacheSource>
  <cacheFields count="14">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s>
</pivotCacheDefinition>
</file>

<file path=xl/pivotCache/pivotCacheDefinition48.xml><?xml version="1.0" encoding="utf-8"?>
<pivotCacheDefinition xmlns:r="http://schemas.openxmlformats.org/officeDocument/2006/relationships" xmlns="http://schemas.openxmlformats.org/spreadsheetml/2006/main" refreshedBy="Excel Services" refreshedDate="46174.71994097222" createdVersion="6" refreshedVersion="8" minRefreshableVersion="3" recordCount="318" r:id="rId1">
  <cacheSource type="worksheet">
    <worksheetSource ref="R1:AF1048576" sheet="CanopyNext"/>
  </cacheSource>
  <cacheFields count="15">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8/6-8/20 (3351)" u="1"/>
        <s v="2020: CAN 12/8-12/22" u="1"/>
        <s v="2022-5.2: CAN 5/24-6/7" u="1"/>
        <s v="2021-12.1: CAN 12.7-12.21" u="1"/>
        <s v="2020: CAN 4/1-4/15" u="1"/>
        <s v="2020: CAN 12/22-01/05" u="1"/>
        <s v="2020: CAN Refinance Spike (3430)" u="1"/>
        <s v="2021-12.2: CAN 12.21-1.4" u="1"/>
        <s v="2021-9.1: CAN 9.14-9.28" u="1"/>
        <s v="2020: CAN 4/30-5/14" u="1"/>
        <s v="2022-10.1: CAN 10/11-10/25" u="1"/>
        <s v="2022-11.1:VEL 11/02-11/16" u="1"/>
        <s v="2021-10.2: CAN 10.26-11.9" u="1"/>
        <s v="2022-7.1: CAN 7/5-7/19" u="1"/>
        <s v="2022-11.1: CAN 11/8-11/22" u="1"/>
        <s v="2022-4.1: CAN 4/12-4/26" u="1"/>
        <s v="2020: CAN 9/15-9/29" u="1"/>
        <s v="2021-4.2: CAN 4/13-4/27" u="1"/>
        <s v="2021-8.3: CAN 8.31-9.14" u="1"/>
        <s v="2021-10.1: CAN 10.12-10.26" u="1"/>
        <s v="2021-3.2: CAN 3/16-3/30" u="1"/>
        <s v="2021-1.1: CAN 1/05-1/19" u="1"/>
        <s v="2020: CAN 4/16-4/30" u="1"/>
        <s v="2020: CAN 6/25-7/9" u="1"/>
        <s v="2022-11.2:VEL 11/16-11/30" u="1"/>
        <s v="2021-8.1: CAN 8/3-8/17" u="1"/>
        <s v="2021-3.1: CAN 3/02-3/16" u="1"/>
        <s v="2021-4.1: CAN 3/30-4/13" u="1"/>
        <s v="2022-9.2: CAN 9/13-9/27" u="1"/>
        <s v="2022-8.2: CAN 8/16-8/30" u="1"/>
        <s v="2021-8.2: CAN 8/17-8/31" u="1"/>
        <s v="2021-7.2: CAN 7/20-8/3" u="1"/>
        <s v="2022-1.1: CAN 1.4-1.18" u="1"/>
        <s v="2022-10.2: CAN 10/25-11/8" u="1"/>
        <s v="2020: CAN 10/13-10/27" u="1"/>
        <s v="2020: CAN 9/29-10/13" u="1"/>
        <s v="2022-3.3: CAN 3/29-4/12" u="1"/>
        <s v="2022-9.1: CAN 8/30-9/13" u="1"/>
        <s v="2022-2.2: CAN 2.15-3.1" u="1"/>
        <s v="2021-6.1: CAN 6/8-6/22" u="1"/>
        <s v="2020: CAN 6/11-6/25" u="1"/>
        <s v="2021-1.2: CAN 2/16-3/02" u="1"/>
        <s v="2021-2.2: CAN 2/16-3/02" u="1"/>
        <s v="2022-8.1: CAN 8/2-8/16" u="1"/>
        <s v="2021-1.2: CAN 2/02-2/16" u="1"/>
        <s v="2021-2.1: CAN 2/02-2/16" u="1"/>
        <s v="2022-12.2:VEL 12/14-01/04" u="1"/>
        <s v="2022-12.1:VEL 11/30-12/14" u="1"/>
        <s v="2020: CAN 11/24-12/8" u="1"/>
        <s v="2021-6.2: CAN 6/22-7/6" u="1"/>
        <s v="2021-11.2: CAN 11.23-12.7" u="1"/>
        <s v="2022-7.2: CAN 7/19-8/2" u="1"/>
        <s v="2021-11.1: CAN 11.9-11.23" u="1"/>
        <s v="2021-9.2: CAN 9.28-10.12" u="1"/>
        <s v="2022-5.1: CAN 5/10-5/24" u="1"/>
        <s v="2021-5.1: CAN 5/11-5/25" u="1"/>
        <s v="2022-11.2:CAN 11/22-12/06" u="1"/>
        <s v="2020: CAN 10/27-11/10" u="1"/>
        <s v="2022-1.2: CAN 1.18-2.1" u="1"/>
        <s v="2020: CAN 5/28-6/11" u="1"/>
        <s v="2022-9.3: CAN 9/27-10/11" u="1"/>
        <s v="2020: CAN 7/23-8/6 (3350)" u="1"/>
        <s v="2022-2.1: CAN 2.1-2.15" u="1"/>
        <s v="2022-6.1: CAN 6/7-6/21" u="1"/>
        <s v="2021-1.2: CAN 1/19-2/02" u="1"/>
        <s v="2021-7.1: CAN 7/6-7/20" u="1"/>
        <s v="2020: CAN 5/14-5/28" u="1"/>
        <s v="2020: CAN 11/11-11/24" u="1"/>
        <s v="2020: CAN 8/20-9/3 (3408)" u="1"/>
        <s v="2022-6.2: CAN 6/21-7/5" u="1"/>
        <s v="2022-12.1:CAN 12/06-12/20" u="1"/>
        <s v="2021-5.2: CAN 5/25-6/8" u="1"/>
        <s v="2020: CAN 7/9-7/23" u="1"/>
        <s v="2022-4.2: CAN 4/26-5/10" u="1"/>
        <s v="2021-4.3: CAN 4/27-5/11" u="1"/>
        <s v="2022-3.1: CAN 3/1-3/15 " u="1"/>
        <s v="2022-12.2:CAN 12/20-01/10" u="1"/>
        <s v="2022-3.2: CAN 3/15-3/29"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 name="Planned Vs Completed ratio" uniqueList="1" numFmtId="0" sqlType="0" hierarchy="0" level="0" databaseField="1">
      <sharedItems count="0" containsBlank="1" containsNumber="1" containsString="0" minValue="0.2894736842105263" maxValue="1"/>
    </cacheField>
  </cacheFields>
</pivotCacheDefinition>
</file>

<file path=xl/pivotCache/pivotCacheDefinition49.xml><?xml version="1.0" encoding="utf-8"?>
<pivotCacheDefinition xmlns:r="http://schemas.openxmlformats.org/officeDocument/2006/relationships" xmlns="http://schemas.openxmlformats.org/spreadsheetml/2006/main" refreshedBy="Excel Services" refreshedDate="46118.78437094908" createdVersion="8" refreshedVersion="8" minRefreshableVersion="3" recordCount="68" r:id="rId1">
  <cacheSource type="worksheet">
    <worksheetSource ref="R1:AA1048576" sheet="UALS (InActive)"/>
  </cacheSource>
  <cacheFields count="10">
    <cacheField name="Week Starting On" uniqueList="1" numFmtId="0" sqlType="0" hierarchy="0" level="0" databaseField="1">
      <sharedItems count="26"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 v="UALS 2025: 9/08-9/15" u="1"/>
        <s v="UALS 2025: 9/15-9/22"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s>
</pivotCacheDefinition>
</file>

<file path=xl/pivotCache/pivotCacheDefinition50.xml><?xml version="1.0" encoding="utf-8"?>
<pivotCacheDefinition xmlns:r="http://schemas.openxmlformats.org/officeDocument/2006/relationships" xmlns="http://schemas.openxmlformats.org/spreadsheetml/2006/main" refreshedBy="Excel Services" refreshedDate="46118.78465486111" createdVersion="8" refreshedVersion="8" minRefreshableVersion="3" recordCount="68" r:id="rId1">
  <cacheSource type="worksheet">
    <worksheetSource ref="R1:AE1048576" sheet="UALS (InActive)"/>
  </cacheSource>
  <cacheFields count="14">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s>
</pivotCacheDefinition>
</file>

<file path=xl/pivotCache/pivotCacheDefinition51.xml><?xml version="1.0" encoding="utf-8"?>
<pivotCacheDefinition xmlns:r="http://schemas.openxmlformats.org/officeDocument/2006/relationships" xmlns="http://schemas.openxmlformats.org/spreadsheetml/2006/main" refreshedBy="Excel Services" refreshedDate="46118.78482581019" createdVersion="8" refreshedVersion="8" minRefreshableVersion="3" recordCount="68" r:id="rId1">
  <cacheSource type="worksheet">
    <worksheetSource ref="R1:AF1048576" sheet="UALS (InActive)"/>
  </cacheSource>
  <cacheFields count="15">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 name="Planned Vs Completed ratio" uniqueList="1" numFmtId="0" sqlType="0" hierarchy="0" level="0" databaseField="1">
      <sharedItems count="0" containsBlank="1" containsMixedTypes="1" containsNumber="1" minValue="0" maxValue="1"/>
    </cacheField>
  </cacheFields>
</pivotCacheDefinition>
</file>

<file path=xl/pivotCache/pivotCacheDefinition52.xml><?xml version="1.0" encoding="utf-8"?>
<pivotCacheDefinition xmlns:r="http://schemas.openxmlformats.org/officeDocument/2006/relationships" xmlns="http://schemas.openxmlformats.org/spreadsheetml/2006/main" refreshedBy="Excel Services" refreshedDate="46087.69316157408" createdVersion="8" refreshedVersion="8" minRefreshableVersion="3" recordCount="59" r:id="rId1">
  <cacheSource type="worksheet">
    <worksheetSource ref="R1:AF60" sheet="Wordpress Modernization (InActi"/>
  </cacheSource>
  <cacheFields count="15">
    <cacheField name="Week Starting On" uniqueList="1" numFmtId="0" sqlType="0" hierarchy="0" level="0" databaseField="1">
      <sharedItems count="48" containsBlank="1">
        <s v="WPML 07/01 - 07/31"/>
        <s v="WPML 08/01 - 08/31"/>
        <s v="WPML 09/01 - 09/30"/>
        <s v="WPML 10/01 -10/31"/>
        <s v="WPML 11/01 - 11/30"/>
        <s v="WPML 12/01 - 12/31"/>
        <s v="WPML 01/01 - 01/31"/>
        <s v="WPML 02/01 - 02/28"/>
        <m/>
        <s v="LCW 10/19-11/2" u="1"/>
        <s v=" LCW 11/2- 11/30" u="1"/>
        <s v="LCW 11/30- 12/15" u="1"/>
        <s v="LCW 12/15- 01/11" u="1"/>
        <s v="LCW 1/11- 1/25" u="1"/>
        <s v="LCW 1/25- 2/8" u="1"/>
        <s v="WPM 2/15-2/29" u="1"/>
        <s v="WPM 2/29-3/14" u="1"/>
        <s v="WPM 3/14-3/28" u="1"/>
        <s v="WPM 3/28-4/11" u="1"/>
        <s v="WPM 4/11-4/25" u="1"/>
        <s v="WPM 4/25-5/9" u="1"/>
        <s v="WPM 5/9-5/23" u="1"/>
        <s v="WPM 5/23-6/6" u="1"/>
        <s v="WPM 6/6-6/20" u="1"/>
        <s v="WPM 6/20-7/4" u="1"/>
        <s v="WPM 7/04-7/18" u="1"/>
        <s v="WPM 7/18-8/01" u="1"/>
        <s v="WPM 8/01-8/15" u="1"/>
        <s v="WPM 8/15-8/29" u="1"/>
        <s v="WPM 8/29-9/12" u="1"/>
        <s v="WPM 9/12-9/26" u="1"/>
        <s v="WPM 9/26-10/10" u="1"/>
        <s v="WPM 10/10-10/24" u="1"/>
        <s v="WPM 10/24-11/07" u="1"/>
        <s v="WPM 11/07-11/21" u="1"/>
        <s v="WPM 11/21-12/05" u="1"/>
        <s v="WPM 12/05-12/19" u="1"/>
        <s v="WPM 12/19-01/16" u="1"/>
        <s v="WPM 01/16-01/30" u="1"/>
        <s v="WPM 01/30-02/13" u="1"/>
        <s v="WPM 02/13-02/27" u="1"/>
        <s v="WPM 02/27-03/13" u="1"/>
        <s v="WPM 03/13-03/27"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42" maxValue="87"/>
    </cacheField>
    <cacheField name="Actual delivered" uniqueList="1" numFmtId="0" sqlType="0" hierarchy="0" level="0" databaseField="1">
      <sharedItems count="0" containsBlank="1" containsInteger="1" containsNumber="1" containsString="0" minValue="42" maxValue="87"/>
    </cacheField>
    <cacheField name="V2" uniqueList="1" numFmtId="0" sqlType="0" hierarchy="0" level="0" databaseField="1">
      <sharedItems count="0" containsBlank="1" containsInteger="1" containsNumber="1" containsString="0" minValue="8" maxValue="25"/>
    </cacheField>
    <cacheField name="LT" uniqueList="1" numFmtId="0" sqlType="0" hierarchy="0" level="0" databaseField="1">
      <sharedItems count="0" containsBlank="1" containsInteger="1" containsNumber="1" containsString="0" minValue="17" maxValue="70"/>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1" maxValue="11"/>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8" maxValue="22"/>
    </cacheField>
    <cacheField name="V2 Reopen Percentage" uniqueList="1" numFmtId="9" sqlType="0" hierarchy="0" level="0" databaseField="1">
      <sharedItems count="0" containsBlank="1" containsNumber="1" containsString="0" minValue="0" maxValue="0.2727272727272727"/>
    </cacheField>
    <cacheField name="LT Reopen Percentage" uniqueList="1" numFmtId="9" sqlType="0" hierarchy="0" level="0" databaseField="1">
      <sharedItems count="0" containsBlank="1" containsNumber="1" containsString="0" minValue="0.05882352941176471" maxValue="0.1964285714285714"/>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Records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7.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8.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9.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10.xml.rels><Relationships xmlns="http://schemas.openxmlformats.org/package/2006/relationships"><Relationship Type="http://schemas.openxmlformats.org/officeDocument/2006/relationships/pivotCacheDefinition" Target="/xl/pivotCache/pivotCacheDefinition4.xml" Id="rId1"/></Relationships>
</file>

<file path=xl/pivotTables/_rels/pivotTable11.xml.rels><Relationships xmlns="http://schemas.openxmlformats.org/package/2006/relationships"><Relationship Type="http://schemas.openxmlformats.org/officeDocument/2006/relationships/pivotCacheDefinition" Target="/xl/pivotCache/pivotCacheDefinition5.xml" Id="rId1"/></Relationships>
</file>

<file path=xl/pivotTables/_rels/pivotTable12.xml.rels><Relationships xmlns="http://schemas.openxmlformats.org/package/2006/relationships"><Relationship Type="http://schemas.openxmlformats.org/officeDocument/2006/relationships/pivotCacheDefinition" Target="/xl/pivotCache/pivotCacheDefinition6.xml" Id="rId1"/></Relationships>
</file>

<file path=xl/pivotTables/_rels/pivotTable13.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4.xml.rels><Relationships xmlns="http://schemas.openxmlformats.org/package/2006/relationships"><Relationship Type="http://schemas.openxmlformats.org/officeDocument/2006/relationships/pivotCacheDefinition" Target="/xl/pivotCache/pivotCacheDefinition8.xml" Id="rId1"/></Relationships>
</file>

<file path=xl/pivotTables/_rels/pivotTable15.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6.xml.rels><Relationships xmlns="http://schemas.openxmlformats.org/package/2006/relationships"><Relationship Type="http://schemas.openxmlformats.org/officeDocument/2006/relationships/pivotCacheDefinition" Target="/xl/pivotCache/pivotCacheDefinition9.xml" Id="rId1"/></Relationships>
</file>

<file path=xl/pivotTables/_rels/pivotTable17.xml.rels><Relationships xmlns="http://schemas.openxmlformats.org/package/2006/relationships"><Relationship Type="http://schemas.openxmlformats.org/officeDocument/2006/relationships/pivotCacheDefinition" Target="/xl/pivotCache/pivotCacheDefinition10.xml" Id="rId1"/></Relationships>
</file>

<file path=xl/pivotTables/_rels/pivotTable18.xml.rels><Relationships xmlns="http://schemas.openxmlformats.org/package/2006/relationships"><Relationship Type="http://schemas.openxmlformats.org/officeDocument/2006/relationships/pivotCacheDefinition" Target="/xl/pivotCache/pivotCacheDefinition11.xml" Id="rId1"/></Relationships>
</file>

<file path=xl/pivotTables/_rels/pivotTable19.xml.rels><Relationships xmlns="http://schemas.openxmlformats.org/package/2006/relationships"><Relationship Type="http://schemas.openxmlformats.org/officeDocument/2006/relationships/pivotCacheDefinition" Target="/xl/pivotCache/pivotCacheDefinition12.xml" Id="rId1"/></Relationships>
</file>

<file path=xl/pivotTables/_rels/pivotTable20.xml.rels><Relationships xmlns="http://schemas.openxmlformats.org/package/2006/relationships"><Relationship Type="http://schemas.openxmlformats.org/officeDocument/2006/relationships/pivotCacheDefinition" Target="/xl/pivotCache/pivotCacheDefinition13.xml" Id="rId1"/></Relationships>
</file>

<file path=xl/pivotTables/_rels/pivotTable21.xml.rels><Relationships xmlns="http://schemas.openxmlformats.org/package/2006/relationships"><Relationship Type="http://schemas.openxmlformats.org/officeDocument/2006/relationships/pivotCacheDefinition" Target="/xl/pivotCache/pivotCacheDefinition14.xml" Id="rId1"/></Relationships>
</file>

<file path=xl/pivotTables/_rels/pivotTable22.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3.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4.xml.rels><Relationships xmlns="http://schemas.openxmlformats.org/package/2006/relationships"><Relationship Type="http://schemas.openxmlformats.org/officeDocument/2006/relationships/pivotCacheDefinition" Target="/xl/pivotCache/pivotCacheDefinition16.xml" Id="rId1"/></Relationships>
</file>

<file path=xl/pivotTables/_rels/pivotTable25.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6.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7.xml.rels><Relationships xmlns="http://schemas.openxmlformats.org/package/2006/relationships"><Relationship Type="http://schemas.openxmlformats.org/officeDocument/2006/relationships/pivotCacheDefinition" Target="/xl/pivotCache/pivotCacheDefinition18.xml" Id="rId1"/></Relationships>
</file>

<file path=xl/pivotTables/_rels/pivotTable28.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9.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0.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1.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2.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3.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4.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5.xml.rels><Relationships xmlns="http://schemas.openxmlformats.org/package/2006/relationships"><Relationship Type="http://schemas.openxmlformats.org/officeDocument/2006/relationships/pivotCacheDefinition" Target="/xl/pivotCache/pivotCacheDefinition22.xml" Id="rId1"/></Relationships>
</file>

<file path=xl/pivotTables/_rels/pivotTable36.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7.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8.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39.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40.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1.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2.xml.rels><Relationships xmlns="http://schemas.openxmlformats.org/package/2006/relationships"><Relationship Type="http://schemas.openxmlformats.org/officeDocument/2006/relationships/pivotCacheDefinition" Target="/xl/pivotCache/pivotCacheDefinition26.xml" Id="rId1"/></Relationships>
</file>

<file path=xl/pivotTables/_rels/pivotTable4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4.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5.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6.xml.rels><Relationships xmlns="http://schemas.openxmlformats.org/package/2006/relationships"><Relationship Type="http://schemas.openxmlformats.org/officeDocument/2006/relationships/pivotCacheDefinition" Target="/xl/pivotCache/pivotCacheDefinition28.xml" Id="rId1"/></Relationships>
</file>

<file path=xl/pivotTables/_rels/pivotTable47.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8.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9.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0.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1.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2.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3.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4.xml.rels><Relationships xmlns="http://schemas.openxmlformats.org/package/2006/relationships"><Relationship Type="http://schemas.openxmlformats.org/officeDocument/2006/relationships/pivotCacheDefinition" Target="/xl/pivotCache/pivotCacheDefinition31.xml" Id="rId1"/></Relationships>
</file>

<file path=xl/pivotTables/_rels/pivotTable55.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6.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7.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8.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9.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0.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1.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2.xml.rels><Relationships xmlns="http://schemas.openxmlformats.org/package/2006/relationships"><Relationship Type="http://schemas.openxmlformats.org/officeDocument/2006/relationships/pivotCacheDefinition" Target="/xl/pivotCache/pivotCacheDefinition36.xml" Id="rId1"/></Relationships>
</file>

<file path=xl/pivotTables/_rels/pivotTable63.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4.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5.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6.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7.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8.xml.rels><Relationships xmlns="http://schemas.openxmlformats.org/package/2006/relationships"><Relationship Type="http://schemas.openxmlformats.org/officeDocument/2006/relationships/pivotCacheDefinition" Target="/xl/pivotCache/pivotCacheDefinition39.xml" Id="rId1"/></Relationships>
</file>

<file path=xl/pivotTables/_rels/pivotTable69.xml.rels><Relationships xmlns="http://schemas.openxmlformats.org/package/2006/relationships"><Relationship Type="http://schemas.openxmlformats.org/officeDocument/2006/relationships/pivotCacheDefinition" Target="/xl/pivotCache/pivotCacheDefinition40.xml" Id="rId1"/></Relationships>
</file>

<file path=xl/pivotTables/_rels/pivotTable70.xml.rels><Relationships xmlns="http://schemas.openxmlformats.org/package/2006/relationships"><Relationship Type="http://schemas.openxmlformats.org/officeDocument/2006/relationships/pivotCacheDefinition" Target="/xl/pivotCache/pivotCacheDefinition41.xml" Id="rId1"/></Relationships>
</file>

<file path=xl/pivotTables/_rels/pivotTable71.xml.rels><Relationships xmlns="http://schemas.openxmlformats.org/package/2006/relationships"><Relationship Type="http://schemas.openxmlformats.org/officeDocument/2006/relationships/pivotCacheDefinition" Target="/xl/pivotCache/pivotCacheDefinition42.xml" Id="rId1"/></Relationships>
</file>

<file path=xl/pivotTables/_rels/pivotTable72.xml.rels><Relationships xmlns="http://schemas.openxmlformats.org/package/2006/relationships"><Relationship Type="http://schemas.openxmlformats.org/officeDocument/2006/relationships/pivotCacheDefinition" Target="/xl/pivotCache/pivotCacheDefinition43.xml" Id="rId1"/></Relationships>
</file>

<file path=xl/pivotTables/_rels/pivotTable73.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4.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5.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6.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7.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78.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79.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80.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81.xml.rels><Relationships xmlns="http://schemas.openxmlformats.org/package/2006/relationships"><Relationship Type="http://schemas.openxmlformats.org/officeDocument/2006/relationships/pivotCacheDefinition" Target="/xl/pivotCache/pivotCacheDefinition48.xml" Id="rId1"/></Relationships>
</file>

<file path=xl/pivotTables/_rels/pivotTable82.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3.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85.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6.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7.xml.rels><Relationships xmlns="http://schemas.openxmlformats.org/package/2006/relationships"><Relationship Type="http://schemas.openxmlformats.org/officeDocument/2006/relationships/pivotCacheDefinition" Target="/xl/pivotCache/pivotCacheDefinition51.xml" Id="rId1"/></Relationships>
</file>

<file path=xl/pivotTables/_rels/pivotTable88.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89.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0.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1.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2.xml.rels><Relationships xmlns="http://schemas.openxmlformats.org/package/2006/relationships"><Relationship Type="http://schemas.openxmlformats.org/officeDocument/2006/relationships/pivotCacheDefinition" Target="/xl/pivotCache/pivotCacheDefinition52.xml" Id="rId1"/></Relationships>
</file>

<file path=xl/pivotTables/pivotTable1.xml><?xml version="1.0" encoding="utf-8"?>
<pivotTableDefinition xmlns:r="http://schemas.openxmlformats.org/officeDocument/2006/relationships" xmlns="http://schemas.openxmlformats.org/spreadsheetml/2006/main" name="PivotTable3" cacheId="23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36">
        <item t="data" h="1" sd="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9"/>
    </i>
    <i t="data" r="0" i="0">
      <x v="30"/>
    </i>
    <i t="data" r="0" i="0">
      <x v="31"/>
    </i>
    <i t="data" r="0" i="0">
      <x v="32"/>
    </i>
    <i t="data" r="0" i="0">
      <x v="33"/>
    </i>
    <i t="data" r="0" i="0">
      <x v="3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438">
      <pivotArea type="all" dataOnly="0" outline="0" fieldPosition="0"/>
    </format>
    <format action="formatting" dxfId="439">
      <pivotArea type="normal" dataOnly="1" outline="0" collapsedLevelsAreSubtotals="1" fieldPosition="0"/>
    </format>
    <format action="formatting" dxfId="440">
      <pivotArea field="0" type="button" dataOnly="0" labelOnly="1" outline="0" axis="axisRow" fieldPosition="0"/>
    </format>
    <format action="formatting" dxfId="441">
      <pivotArea type="normal" dataOnly="0" labelOnly="1" outline="1" fieldPosition="0">
        <references count="1">
          <reference field="0"/>
        </references>
      </pivotArea>
    </format>
    <format action="formatting" dxfId="442">
      <pivotArea type="normal" dataOnly="0" labelOnly="1" grandRow="1" outline="0" fieldPosition="0"/>
    </format>
    <format action="formatting" dxfId="443">
      <pivotArea type="normal" dataOnly="0" labelOnly="1" outline="0" fieldPosition="0">
        <references count="1">
          <reference field="4294967294">
            <x v="0"/>
            <x v="1"/>
          </reference>
        </references>
      </pivotArea>
    </format>
    <format action="formatting" dxfId="444">
      <pivotArea type="all" dataOnly="0" outline="0" fieldPosition="0"/>
    </format>
    <format action="formatting" dxfId="445">
      <pivotArea type="normal" dataOnly="1" outline="0" collapsedLevelsAreSubtotals="1" fieldPosition="0"/>
    </format>
    <format action="formatting" dxfId="446">
      <pivotArea field="0" type="button" dataOnly="0" labelOnly="1" outline="0" axis="axisRow" fieldPosition="0"/>
    </format>
    <format action="formatting" dxfId="447">
      <pivotArea type="normal" dataOnly="0" labelOnly="1" outline="1" fieldPosition="0">
        <references count="1">
          <reference field="0"/>
        </references>
      </pivotArea>
    </format>
    <format action="formatting" dxfId="448">
      <pivotArea type="normal" dataOnly="0" labelOnly="1" grandRow="1" outline="0" fieldPosition="0"/>
    </format>
    <format action="formatting" dxfId="44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4"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50">
      <pivotArea type="all" dataOnly="0" outline="0" fieldPosition="0"/>
    </format>
    <format action="formatting" dxfId="451">
      <pivotArea type="normal" dataOnly="1" outline="0" collapsedLevelsAreSubtotals="1" fieldPosition="0"/>
    </format>
    <format action="formatting" dxfId="452">
      <pivotArea field="0" type="button" dataOnly="0" labelOnly="1" outline="0" axis="axisRow" fieldPosition="0"/>
    </format>
    <format action="formatting" dxfId="453">
      <pivotArea type="normal" dataOnly="0" labelOnly="1" outline="1" fieldPosition="0">
        <references count="1">
          <reference field="0"/>
        </references>
      </pivotArea>
    </format>
    <format action="formatting" dxfId="454">
      <pivotArea type="normal" dataOnly="0" labelOnly="1" grandRow="1" outline="0" fieldPosition="0"/>
    </format>
    <format action="formatting" dxfId="455">
      <pivotArea type="normal" dataOnly="0" labelOnly="1" outline="0" fieldPosition="0">
        <references count="1">
          <reference field="4294967294">
            <x v="0"/>
            <x v="1"/>
          </reference>
        </references>
      </pivotArea>
    </format>
    <format action="formatting" dxfId="456">
      <pivotArea type="all" dataOnly="0" outline="0" fieldPosition="0"/>
    </format>
    <format action="formatting" dxfId="457">
      <pivotArea type="normal" dataOnly="1" outline="0" collapsedLevelsAreSubtotals="1" fieldPosition="0"/>
    </format>
    <format action="formatting" dxfId="458">
      <pivotArea field="0" type="button" dataOnly="0" labelOnly="1" outline="0" axis="axisRow" fieldPosition="0"/>
    </format>
    <format action="formatting" dxfId="459">
      <pivotArea type="normal" dataOnly="0" labelOnly="1" outline="1" fieldPosition="0">
        <references count="1">
          <reference field="0"/>
        </references>
      </pivotArea>
    </format>
    <format action="formatting" dxfId="460">
      <pivotArea type="normal" dataOnly="0" labelOnly="1" grandRow="1" outline="0" fieldPosition="0"/>
    </format>
    <format action="formatting" dxfId="46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5"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462">
      <pivotArea type="all" dataOnly="0" outline="0" fieldPosition="0"/>
    </format>
    <format action="formatting" dxfId="463">
      <pivotArea type="normal" dataOnly="1" outline="0" collapsedLevelsAreSubtotals="1" fieldPosition="0"/>
    </format>
    <format action="formatting" dxfId="464">
      <pivotArea field="0" type="button" dataOnly="0" labelOnly="1" outline="0" axis="axisRow" fieldPosition="0"/>
    </format>
    <format action="formatting" dxfId="465">
      <pivotArea type="normal" dataOnly="0" labelOnly="1" outline="1" fieldPosition="0">
        <references count="1">
          <reference field="0"/>
        </references>
      </pivotArea>
    </format>
    <format action="formatting" dxfId="466">
      <pivotArea type="normal" dataOnly="0" labelOnly="1" grandRow="1" outline="0" fieldPosition="0"/>
    </format>
    <format action="formatting" dxfId="467">
      <pivotArea type="normal" dataOnly="0" labelOnly="1" outline="0" fieldPosition="0">
        <references count="1">
          <reference field="4294967294">
            <x v="0"/>
            <x v="1"/>
          </reference>
        </references>
      </pivotArea>
    </format>
    <format action="formatting" dxfId="468">
      <pivotArea type="all" dataOnly="0" outline="0" fieldPosition="0"/>
    </format>
    <format action="formatting" dxfId="469">
      <pivotArea type="normal" dataOnly="1" outline="0" collapsedLevelsAreSubtotals="1" fieldPosition="0"/>
    </format>
    <format action="formatting" dxfId="470">
      <pivotArea field="0" type="button" dataOnly="0" labelOnly="1" outline="0" axis="axisRow" fieldPosition="0"/>
    </format>
    <format action="formatting" dxfId="471">
      <pivotArea type="normal" dataOnly="0" labelOnly="1" outline="1" fieldPosition="0">
        <references count="1">
          <reference field="0"/>
        </references>
      </pivotArea>
    </format>
    <format action="formatting" dxfId="472">
      <pivotArea type="normal" dataOnly="0" labelOnly="1" grandRow="1" outline="0" fieldPosition="0"/>
    </format>
    <format action="formatting" dxfId="4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1"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414">
      <pivotArea type="all" dataOnly="0" outline="0" fieldPosition="0"/>
    </format>
    <format action="formatting" dxfId="415">
      <pivotArea type="normal" dataOnly="1" outline="0" collapsedLevelsAreSubtotals="1" fieldPosition="0"/>
    </format>
    <format action="formatting" dxfId="416">
      <pivotArea field="0" type="button" dataOnly="0" labelOnly="1" outline="0" axis="axisRow" fieldPosition="0"/>
    </format>
    <format action="formatting" dxfId="417">
      <pivotArea type="normal" dataOnly="0" labelOnly="1" outline="1" fieldPosition="0">
        <references count="1">
          <reference field="0"/>
        </references>
      </pivotArea>
    </format>
    <format action="formatting" dxfId="418">
      <pivotArea type="normal" dataOnly="0" labelOnly="1" grandRow="1" outline="0" fieldPosition="0"/>
    </format>
    <format action="formatting" dxfId="419">
      <pivotArea type="normal" dataOnly="0" labelOnly="1" outline="0" fieldPosition="0">
        <references count="1">
          <reference field="4294967294">
            <x v="0"/>
            <x v="1"/>
          </reference>
        </references>
      </pivotArea>
    </format>
    <format action="formatting" dxfId="420">
      <pivotArea type="all" dataOnly="0" outline="0" fieldPosition="0"/>
    </format>
    <format action="formatting" dxfId="421">
      <pivotArea type="normal" dataOnly="1" outline="0" collapsedLevelsAreSubtotals="1" fieldPosition="0"/>
    </format>
    <format action="formatting" dxfId="422">
      <pivotArea field="0" type="button" dataOnly="0" labelOnly="1" outline="0" axis="axisRow" fieldPosition="0"/>
    </format>
    <format action="formatting" dxfId="423">
      <pivotArea type="normal" dataOnly="0" labelOnly="1" outline="1" fieldPosition="0">
        <references count="1">
          <reference field="0"/>
        </references>
      </pivotArea>
    </format>
    <format action="formatting" dxfId="424">
      <pivotArea type="normal" dataOnly="0" labelOnly="1" grandRow="1" outline="0" fieldPosition="0"/>
    </format>
    <format action="formatting" dxfId="42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2"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64"/>
        <item t="data" h="1" sd="1" m="1" x="109"/>
        <item t="data" h="1" sd="1" x="11"/>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Items count="1">
    <i t="data" r="0" i="0"/>
  </colItems>
  <dataFields count="1">
    <dataField name="Sum of Planned Vs Completed ratio" fld="14" subtotal="sum" showDataAs="normal" baseField="0" baseItem="0"/>
  </dataFields>
  <formats count="12">
    <format action="formatting" dxfId="426">
      <pivotArea type="all" dataOnly="0" outline="0" fieldPosition="0"/>
    </format>
    <format action="formatting" dxfId="427">
      <pivotArea type="normal" dataOnly="1" outline="0" collapsedLevelsAreSubtotals="1" fieldPosition="0"/>
    </format>
    <format action="formatting" dxfId="428">
      <pivotArea field="0" type="button" dataOnly="0" labelOnly="1" outline="0" axis="axisRow" fieldPosition="0"/>
    </format>
    <format action="formatting" dxfId="429">
      <pivotArea type="normal" dataOnly="0" labelOnly="1" outline="1" fieldPosition="0">
        <references count="1">
          <reference field="0"/>
        </references>
      </pivotArea>
    </format>
    <format action="formatting" dxfId="430">
      <pivotArea type="normal" dataOnly="0" labelOnly="1" grandRow="1" outline="0" fieldPosition="0"/>
    </format>
    <format action="formatting" dxfId="431">
      <pivotArea type="normal" dataOnly="0" labelOnly="1" outline="0" axis="axisValues" fieldPosition="0"/>
    </format>
    <format action="formatting" dxfId="432">
      <pivotArea type="all" dataOnly="0" outline="0" fieldPosition="0"/>
    </format>
    <format action="formatting" dxfId="433">
      <pivotArea type="normal" dataOnly="1" outline="0" collapsedLevelsAreSubtotals="1" fieldPosition="0"/>
    </format>
    <format action="formatting" dxfId="434">
      <pivotArea field="0" type="button" dataOnly="0" labelOnly="1" outline="0" axis="axisRow" fieldPosition="0"/>
    </format>
    <format action="formatting" dxfId="435">
      <pivotArea type="normal" dataOnly="0" labelOnly="1" outline="1" fieldPosition="0">
        <references count="1">
          <reference field="0"/>
        </references>
      </pivotArea>
    </format>
    <format action="formatting" dxfId="436">
      <pivotArea type="normal" dataOnly="0" labelOnly="1" grandRow="1" outline="0" fieldPosition="0"/>
    </format>
    <format action="formatting" dxfId="437">
      <pivotArea type="normal" dataOnly="0" labelOnly="1" outline="0" axis="axisValues" fieldPosition="0"/>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PivotTable1"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78">
      <pivotArea type="all" dataOnly="0" outline="0" fieldPosition="0"/>
    </format>
    <format action="formatting" dxfId="379">
      <pivotArea type="normal" dataOnly="1" outline="0" collapsedLevelsAreSubtotals="1" fieldPosition="0"/>
    </format>
    <format action="formatting" dxfId="380">
      <pivotArea field="0" type="button" dataOnly="0" labelOnly="1" outline="0" axis="axisRow" fieldPosition="0"/>
    </format>
    <format action="formatting" dxfId="381">
      <pivotArea type="normal" dataOnly="0" labelOnly="1" outline="1" fieldPosition="0">
        <references count="1">
          <reference field="0"/>
        </references>
      </pivotArea>
    </format>
    <format action="formatting" dxfId="382">
      <pivotArea type="normal" dataOnly="0" labelOnly="1" grandRow="1" outline="0" fieldPosition="0"/>
    </format>
    <format action="formatting" dxfId="383">
      <pivotArea type="normal" dataOnly="0" labelOnly="1" outline="0" fieldPosition="0">
        <references count="1">
          <reference field="4294967294">
            <x v="0"/>
            <x v="1"/>
          </reference>
        </references>
      </pivotArea>
    </format>
    <format action="formatting" dxfId="384">
      <pivotArea type="all" dataOnly="0" outline="0" fieldPosition="0"/>
    </format>
    <format action="formatting" dxfId="385">
      <pivotArea type="normal" dataOnly="1" outline="0" collapsedLevelsAreSubtotals="1" fieldPosition="0"/>
    </format>
    <format action="formatting" dxfId="386">
      <pivotArea field="0" type="button" dataOnly="0" labelOnly="1" outline="0" axis="axisRow" fieldPosition="0"/>
    </format>
    <format action="formatting" dxfId="387">
      <pivotArea type="normal" dataOnly="0" labelOnly="1" outline="1" fieldPosition="0">
        <references count="1">
          <reference field="0"/>
        </references>
      </pivotArea>
    </format>
    <format action="formatting" dxfId="388">
      <pivotArea type="normal" dataOnly="0" labelOnly="1" grandRow="1" outline="0" fieldPosition="0"/>
    </format>
    <format action="formatting" dxfId="3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PivotTable5"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90">
      <pivotArea type="all" dataOnly="0" outline="0" fieldPosition="0"/>
    </format>
    <format action="formatting" dxfId="391">
      <pivotArea type="normal" dataOnly="1" outline="0" collapsedLevelsAreSubtotals="1" fieldPosition="0"/>
    </format>
    <format action="formatting" dxfId="392">
      <pivotArea field="0" type="button" dataOnly="0" labelOnly="1" outline="0" axis="axisRow" fieldPosition="0"/>
    </format>
    <format action="formatting" dxfId="393">
      <pivotArea type="normal" dataOnly="0" labelOnly="1" outline="1" fieldPosition="0">
        <references count="1">
          <reference field="0"/>
        </references>
      </pivotArea>
    </format>
    <format action="formatting" dxfId="394">
      <pivotArea type="normal" dataOnly="0" labelOnly="1" grandRow="1" outline="0" fieldPosition="0"/>
    </format>
    <format action="formatting" dxfId="395">
      <pivotArea type="normal" dataOnly="0" labelOnly="1" outline="0" fieldPosition="0">
        <references count="1">
          <reference field="4294967294">
            <x v="0"/>
            <x v="1"/>
          </reference>
        </references>
      </pivotArea>
    </format>
    <format action="formatting" dxfId="396">
      <pivotArea type="all" dataOnly="0" outline="0" fieldPosition="0"/>
    </format>
    <format action="formatting" dxfId="397">
      <pivotArea type="normal" dataOnly="1" outline="0" collapsedLevelsAreSubtotals="1" fieldPosition="0"/>
    </format>
    <format action="formatting" dxfId="398">
      <pivotArea field="0" type="button" dataOnly="0" labelOnly="1" outline="0" axis="axisRow" fieldPosition="0"/>
    </format>
    <format action="formatting" dxfId="399">
      <pivotArea type="normal" dataOnly="0" labelOnly="1" outline="1" fieldPosition="0">
        <references count="1">
          <reference field="0"/>
        </references>
      </pivotArea>
    </format>
    <format action="formatting" dxfId="400">
      <pivotArea type="normal" dataOnly="0" labelOnly="1" grandRow="1" outline="0" fieldPosition="0"/>
    </format>
    <format action="formatting" dxfId="40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PivotTable4"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x="17"/>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02">
      <pivotArea type="all" dataOnly="0" outline="0" fieldPosition="0"/>
    </format>
    <format action="formatting" dxfId="403">
      <pivotArea type="normal" dataOnly="1" outline="0" collapsedLevelsAreSubtotals="1" fieldPosition="0"/>
    </format>
    <format action="formatting" dxfId="404">
      <pivotArea field="0" type="button" dataOnly="0" labelOnly="1" outline="0" axis="axisRow" fieldPosition="0"/>
    </format>
    <format action="formatting" dxfId="405">
      <pivotArea type="normal" dataOnly="0" labelOnly="1" outline="1" fieldPosition="0">
        <references count="1">
          <reference field="0"/>
        </references>
      </pivotArea>
    </format>
    <format action="formatting" dxfId="406">
      <pivotArea type="normal" dataOnly="0" labelOnly="1" grandRow="1" outline="0" fieldPosition="0"/>
    </format>
    <format action="formatting" dxfId="407">
      <pivotArea type="normal" dataOnly="0" labelOnly="1" outline="0" fieldPosition="0">
        <references count="1">
          <reference field="4294967294">
            <x v="0"/>
            <x v="1"/>
          </reference>
        </references>
      </pivotArea>
    </format>
    <format action="formatting" dxfId="408">
      <pivotArea type="all" dataOnly="0" outline="0" fieldPosition="0"/>
    </format>
    <format action="formatting" dxfId="409">
      <pivotArea type="normal" dataOnly="1" outline="0" collapsedLevelsAreSubtotals="1" fieldPosition="0"/>
    </format>
    <format action="formatting" dxfId="410">
      <pivotArea field="0" type="button" dataOnly="0" labelOnly="1" outline="0" axis="axisRow" fieldPosition="0"/>
    </format>
    <format action="formatting" dxfId="411">
      <pivotArea type="normal" dataOnly="0" labelOnly="1" outline="1" fieldPosition="0">
        <references count="1">
          <reference field="0"/>
        </references>
      </pivotArea>
    </format>
    <format action="formatting" dxfId="412">
      <pivotArea type="normal" dataOnly="0" labelOnly="1" grandRow="1" outline="0" fieldPosition="0"/>
    </format>
    <format action="formatting" dxfId="41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PivotTable3"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54">
      <pivotArea type="all" dataOnly="0" outline="0" fieldPosition="0"/>
    </format>
    <format action="formatting" dxfId="355">
      <pivotArea type="normal" dataOnly="1" outline="0" collapsedLevelsAreSubtotals="1" fieldPosition="0"/>
    </format>
    <format action="formatting" dxfId="356">
      <pivotArea field="0" type="button" dataOnly="0" labelOnly="1" outline="0" axis="axisRow" fieldPosition="0"/>
    </format>
    <format action="formatting" dxfId="357">
      <pivotArea type="normal" dataOnly="0" labelOnly="1" outline="1" fieldPosition="0">
        <references count="1">
          <reference field="0"/>
        </references>
      </pivotArea>
    </format>
    <format action="formatting" dxfId="358">
      <pivotArea type="normal" dataOnly="0" labelOnly="1" grandRow="1" outline="0" fieldPosition="0"/>
    </format>
    <format action="formatting" dxfId="359">
      <pivotArea type="normal" dataOnly="0" labelOnly="1" outline="0" fieldPosition="0">
        <references count="1">
          <reference field="4294967294">
            <x v="0"/>
            <x v="1"/>
          </reference>
        </references>
      </pivotArea>
    </format>
    <format action="formatting" dxfId="360">
      <pivotArea type="all" dataOnly="0" outline="0" fieldPosition="0"/>
    </format>
    <format action="formatting" dxfId="361">
      <pivotArea type="normal" dataOnly="1" outline="0" collapsedLevelsAreSubtotals="1" fieldPosition="0"/>
    </format>
    <format action="formatting" dxfId="362">
      <pivotArea field="0" type="button" dataOnly="0" labelOnly="1" outline="0" axis="axisRow" fieldPosition="0"/>
    </format>
    <format action="formatting" dxfId="363">
      <pivotArea type="normal" dataOnly="0" labelOnly="1" outline="1" fieldPosition="0">
        <references count="1">
          <reference field="0"/>
        </references>
      </pivotArea>
    </format>
    <format action="formatting" dxfId="364">
      <pivotArea type="normal" dataOnly="0" labelOnly="1" grandRow="1" outline="0" fieldPosition="0"/>
    </format>
    <format action="formatting" dxfId="36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PivotTable2" cacheId="22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67">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Items count="1">
    <i t="data" r="0" i="0"/>
  </colItems>
  <dataFields count="1">
    <dataField name="Sum of Planned Vs Completed ratio" fld="14" subtotal="sum" showDataAs="normal" baseField="0" baseItem="0"/>
  </dataFields>
  <formats count="12">
    <format action="formatting" dxfId="366">
      <pivotArea type="all" dataOnly="0" outline="0" fieldPosition="0"/>
    </format>
    <format action="formatting" dxfId="367">
      <pivotArea type="normal" dataOnly="1" outline="0" collapsedLevelsAreSubtotals="1" fieldPosition="0"/>
    </format>
    <format action="formatting" dxfId="368">
      <pivotArea field="0" type="button" dataOnly="0" labelOnly="1" outline="0" axis="axisRow" fieldPosition="0"/>
    </format>
    <format action="formatting" dxfId="369">
      <pivotArea type="normal" dataOnly="0" labelOnly="1" outline="1" fieldPosition="0">
        <references count="1">
          <reference field="0"/>
        </references>
      </pivotArea>
    </format>
    <format action="formatting" dxfId="370">
      <pivotArea type="normal" dataOnly="0" labelOnly="1" grandRow="1" outline="0" fieldPosition="0"/>
    </format>
    <format action="formatting" dxfId="371">
      <pivotArea type="normal" dataOnly="0" labelOnly="1" outline="0" axis="axisValues" fieldPosition="0"/>
    </format>
    <format action="formatting" dxfId="372">
      <pivotArea type="all" dataOnly="0" outline="0" fieldPosition="0"/>
    </format>
    <format action="formatting" dxfId="373">
      <pivotArea type="normal" dataOnly="1" outline="0" collapsedLevelsAreSubtotals="1" fieldPosition="0"/>
    </format>
    <format action="formatting" dxfId="374">
      <pivotArea field="0" type="button" dataOnly="0" labelOnly="1" outline="0" axis="axisRow" fieldPosition="0"/>
    </format>
    <format action="formatting" dxfId="375">
      <pivotArea type="normal" dataOnly="0" labelOnly="1" outline="1" fieldPosition="0">
        <references count="1">
          <reference field="0"/>
        </references>
      </pivotArea>
    </format>
    <format action="formatting" dxfId="376">
      <pivotArea type="normal" dataOnly="0" labelOnly="1" grandRow="1" outline="0" fieldPosition="0"/>
    </format>
    <format action="formatting" dxfId="377">
      <pivotArea type="normal" dataOnly="0" labelOnly="1" outline="0" axis="axisValues" fieldPosition="0"/>
    </format>
  </formats>
  <pivotTableStyleInfo name="PivotStyleLight16" showRowHeaders="1" showColHeaders="1" showRowStripes="0" showColStripes="0" showLastColumn="1"/>
</pivotTableDefinition>
</file>

<file path=xl/pivotTables/pivotTable11.xml><?xml version="1.0" encoding="utf-8"?>
<pivotTableDefinition xmlns:r="http://schemas.openxmlformats.org/officeDocument/2006/relationships" xmlns="http://schemas.openxmlformats.org/spreadsheetml/2006/main" name="PivotTable5" cacheId="22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20">
      <pivotArea type="all" dataOnly="0" outline="0" fieldPosition="0"/>
    </format>
    <format action="formatting" dxfId="321">
      <pivotArea type="normal" dataOnly="1" outline="0" collapsedLevelsAreSubtotals="1" fieldPosition="0"/>
    </format>
    <format action="formatting" dxfId="322">
      <pivotArea field="0" type="button" dataOnly="0" labelOnly="1" outline="0" axis="axisRow" fieldPosition="0"/>
    </format>
    <format action="formatting" dxfId="323">
      <pivotArea type="normal" dataOnly="0" labelOnly="1" outline="1" fieldPosition="0">
        <references count="1">
          <reference field="0"/>
        </references>
      </pivotArea>
    </format>
    <format action="formatting" dxfId="324">
      <pivotArea type="normal" dataOnly="0" labelOnly="1" grandRow="1" outline="0" fieldPosition="0"/>
    </format>
    <format action="formatting" dxfId="325">
      <pivotArea type="normal" dataOnly="0" labelOnly="1" outline="0" fieldPosition="0">
        <references count="1">
          <reference field="4294967294">
            <x v="0"/>
            <x v="1"/>
          </reference>
        </references>
      </pivotArea>
    </format>
    <format action="formatting" dxfId="326">
      <pivotArea type="all" dataOnly="0" outline="0" fieldPosition="0"/>
    </format>
    <format action="formatting" dxfId="327">
      <pivotArea type="normal" dataOnly="1" outline="0" collapsedLevelsAreSubtotals="1" fieldPosition="0"/>
    </format>
    <format action="formatting" dxfId="328">
      <pivotArea field="0" type="button" dataOnly="0" labelOnly="1" outline="0" axis="axisRow" fieldPosition="0"/>
    </format>
    <format action="formatting" dxfId="329">
      <pivotArea type="normal" dataOnly="0" labelOnly="1" outline="1" fieldPosition="0">
        <references count="1">
          <reference field="0"/>
        </references>
      </pivotArea>
    </format>
    <format action="formatting" dxfId="330">
      <pivotArea type="normal" dataOnly="0" labelOnly="1" grandRow="1" outline="0" fieldPosition="0"/>
    </format>
    <format action="formatting" dxfId="33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2.xml><?xml version="1.0" encoding="utf-8"?>
<pivotTableDefinition xmlns:r="http://schemas.openxmlformats.org/officeDocument/2006/relationships" xmlns="http://schemas.openxmlformats.org/spreadsheetml/2006/main" name="PivotTable3" cacheId="22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28">
        <item t="data" h="1" sd="1" x="16"/>
        <item t="data" h="1" sd="1" m="1" x="22"/>
        <item t="data" h="1" sd="1" m="1" x="23"/>
        <item t="data" h="1" sd="1" m="1" x="24"/>
        <item t="data" h="1" sd="1" m="1" x="25"/>
        <item t="data" h="1" sd="1" m="1" x="2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1"/>
    </i>
    <i t="data" r="0" i="0">
      <x v="22"/>
    </i>
    <i t="data" r="0" i="0">
      <x v="23"/>
    </i>
    <i t="data" r="0" i="0">
      <x v="24"/>
    </i>
    <i t="data" r="0" i="0">
      <x v="25"/>
    </i>
    <i t="data" r="0" i="0">
      <x v="2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32">
      <pivotArea type="all" dataOnly="0" outline="0" fieldPosition="0"/>
    </format>
    <format action="formatting" dxfId="333">
      <pivotArea type="normal" dataOnly="1" outline="0" collapsedLevelsAreSubtotals="1" fieldPosition="0"/>
    </format>
    <format action="formatting" dxfId="334">
      <pivotArea field="0" type="button" dataOnly="0" labelOnly="1" outline="0" axis="axisRow" fieldPosition="0"/>
    </format>
    <format action="formatting" dxfId="335">
      <pivotArea type="normal" dataOnly="0" labelOnly="1" outline="1" fieldPosition="0">
        <references count="1">
          <reference field="0"/>
        </references>
      </pivotArea>
    </format>
    <format action="formatting" dxfId="336">
      <pivotArea type="normal" dataOnly="0" labelOnly="1" grandRow="1" outline="0" fieldPosition="0"/>
    </format>
    <format action="formatting" dxfId="337">
      <pivotArea type="normal" dataOnly="0" labelOnly="1" outline="0" fieldPosition="0">
        <references count="1">
          <reference field="4294967294">
            <x v="0"/>
            <x v="1"/>
          </reference>
        </references>
      </pivotArea>
    </format>
    <format action="formatting" dxfId="338">
      <pivotArea type="all" dataOnly="0" outline="0" fieldPosition="0"/>
    </format>
    <format action="formatting" dxfId="339">
      <pivotArea type="normal" dataOnly="1" outline="0" collapsedLevelsAreSubtotals="1" fieldPosition="0"/>
    </format>
    <format action="formatting" dxfId="340">
      <pivotArea field="0" type="button" dataOnly="0" labelOnly="1" outline="0" axis="axisRow" fieldPosition="0"/>
    </format>
    <format action="formatting" dxfId="341">
      <pivotArea type="normal" dataOnly="0" labelOnly="1" outline="1" fieldPosition="0">
        <references count="1">
          <reference field="0"/>
        </references>
      </pivotArea>
    </format>
    <format action="formatting" dxfId="342">
      <pivotArea type="normal" dataOnly="0" labelOnly="1" grandRow="1" outline="0" fieldPosition="0"/>
    </format>
    <format action="formatting" dxfId="34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3.xml><?xml version="1.0" encoding="utf-8"?>
<pivotTableDefinition xmlns:r="http://schemas.openxmlformats.org/officeDocument/2006/relationships" xmlns="http://schemas.openxmlformats.org/spreadsheetml/2006/main" name="PivotTable4"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344">
      <pivotArea type="all" dataOnly="0" outline="0" fieldPosition="0"/>
    </format>
    <format action="formatting" dxfId="345">
      <pivotArea type="normal" dataOnly="1" outline="0" collapsedLevelsAreSubtotals="1" fieldPosition="0"/>
    </format>
    <format action="formatting" dxfId="346">
      <pivotArea field="0" type="button" dataOnly="0" labelOnly="1" outline="0" axis="axisRow" fieldPosition="0"/>
    </format>
    <format action="formatting" dxfId="347">
      <pivotArea type="normal" dataOnly="0" labelOnly="1" grandRow="1" outline="0" fieldPosition="0"/>
    </format>
    <format action="formatting" dxfId="348">
      <pivotArea type="normal" dataOnly="0" labelOnly="1" outline="0" fieldPosition="0">
        <references count="1">
          <reference field="4294967294">
            <x v="0"/>
            <x v="1"/>
          </reference>
        </references>
      </pivotArea>
    </format>
    <format action="formatting" dxfId="349">
      <pivotArea type="all" dataOnly="0" outline="0" fieldPosition="0"/>
    </format>
    <format action="formatting" dxfId="350">
      <pivotArea type="normal" dataOnly="1" outline="0" collapsedLevelsAreSubtotals="1" fieldPosition="0"/>
    </format>
    <format action="formatting" dxfId="351">
      <pivotArea field="0" type="button" dataOnly="0" labelOnly="1" outline="0" axis="axisRow" fieldPosition="0"/>
    </format>
    <format action="formatting" dxfId="352">
      <pivotArea type="normal" dataOnly="0" labelOnly="1" grandRow="1" outline="0" fieldPosition="0"/>
    </format>
    <format action="formatting" dxfId="35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4.xml><?xml version="1.0" encoding="utf-8"?>
<pivotTableDefinition xmlns:r="http://schemas.openxmlformats.org/officeDocument/2006/relationships" xmlns="http://schemas.openxmlformats.org/spreadsheetml/2006/main" name="PivotTable2" cacheId="23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Items count="1">
    <i t="data" r="0" i="0"/>
  </colItems>
  <dataFields count="1">
    <dataField name="Sum of Planned Vs Completed ratio" fld="14" subtotal="sum" showDataAs="normal" baseField="0" baseItem="0"/>
  </dataFields>
  <formats count="14">
    <format action="formatting" dxfId="294">
      <pivotArea type="all" dataOnly="0" outline="0" fieldPosition="0"/>
    </format>
    <format action="formatting" dxfId="295">
      <pivotArea type="normal" dataOnly="1" outline="0" collapsedLevelsAreSubtotals="1" fieldPosition="0"/>
    </format>
    <format action="formatting" dxfId="296">
      <pivotArea field="0" type="button" dataOnly="0" labelOnly="1" outline="0" axis="axisRow" fieldPosition="0"/>
    </format>
    <format action="formatting" dxfId="297">
      <pivotArea type="normal" dataOnly="0" labelOnly="1" outline="1" fieldPosition="0">
        <references count="1">
          <reference field="0"/>
        </references>
      </pivotArea>
    </format>
    <format action="formatting" dxfId="298">
      <pivotArea type="normal" dataOnly="0" labelOnly="1" grandRow="1" outline="0" fieldPosition="0"/>
    </format>
    <format action="formatting" dxfId="299">
      <pivotArea type="normal" dataOnly="0" labelOnly="1" outline="0" axis="axisValues" fieldPosition="0"/>
    </format>
    <format action="formatting" dxfId="300">
      <pivotArea type="all" dataOnly="0" outline="0" fieldPosition="0"/>
    </format>
    <format action="formatting" dxfId="301">
      <pivotArea type="normal" dataOnly="1" outline="0" collapsedLevelsAreSubtotals="1" fieldPosition="0"/>
    </format>
    <format action="formatting" dxfId="302">
      <pivotArea field="0" type="button" dataOnly="0" labelOnly="1" outline="0" axis="axisRow" fieldPosition="0"/>
    </format>
    <format action="formatting" dxfId="303">
      <pivotArea type="normal" dataOnly="0" labelOnly="1" outline="1" fieldPosition="0">
        <references count="1">
          <reference field="0"/>
        </references>
      </pivotArea>
    </format>
    <format action="formatting" dxfId="304">
      <pivotArea type="normal" dataOnly="0" labelOnly="1" grandRow="1" outline="0" fieldPosition="0"/>
    </format>
    <format action="formatting" dxfId="305">
      <pivotArea type="normal" dataOnly="0" labelOnly="1" outline="0" axis="axisValues" fieldPosition="0"/>
    </format>
    <format action="formatting" dxfId="306">
      <pivotArea type="normal" dataOnly="1" outline="1" collapsedLevelsAreSubtotals="1" fieldPosition="0">
        <references count="1">
          <reference field="0"/>
        </references>
      </pivotArea>
    </format>
    <format action="formatting" dxfId="307">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5.xml><?xml version="1.0" encoding="utf-8"?>
<pivotTableDefinition xmlns:r="http://schemas.openxmlformats.org/officeDocument/2006/relationships" xmlns="http://schemas.openxmlformats.org/spreadsheetml/2006/main" name="PivotTable1"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08">
      <pivotArea type="all" dataOnly="0" outline="0" fieldPosition="0"/>
    </format>
    <format action="formatting" dxfId="309">
      <pivotArea type="normal" dataOnly="1" outline="0" collapsedLevelsAreSubtotals="1" fieldPosition="0"/>
    </format>
    <format action="formatting" dxfId="310">
      <pivotArea field="0" type="button" dataOnly="0" labelOnly="1" outline="0" axis="axisRow" fieldPosition="0"/>
    </format>
    <format action="formatting" dxfId="311">
      <pivotArea type="normal" dataOnly="0" labelOnly="1" outline="1" fieldPosition="0">
        <references count="1">
          <reference field="0"/>
        </references>
      </pivotArea>
    </format>
    <format action="formatting" dxfId="312">
      <pivotArea type="normal" dataOnly="0" labelOnly="1" grandRow="1" outline="0" fieldPosition="0"/>
    </format>
    <format action="formatting" dxfId="313">
      <pivotArea type="normal" dataOnly="0" labelOnly="1" outline="0" fieldPosition="0">
        <references count="1">
          <reference field="4294967294">
            <x v="0"/>
            <x v="1"/>
          </reference>
        </references>
      </pivotArea>
    </format>
    <format action="formatting" dxfId="314">
      <pivotArea type="all" dataOnly="0" outline="0" fieldPosition="0"/>
    </format>
    <format action="formatting" dxfId="315">
      <pivotArea type="normal" dataOnly="1" outline="0" collapsedLevelsAreSubtotals="1" fieldPosition="0"/>
    </format>
    <format action="formatting" dxfId="316">
      <pivotArea field="0" type="button" dataOnly="0" labelOnly="1" outline="0" axis="axisRow" fieldPosition="0"/>
    </format>
    <format action="formatting" dxfId="317">
      <pivotArea type="normal" dataOnly="0" labelOnly="1" outline="1" fieldPosition="0">
        <references count="1">
          <reference field="0"/>
        </references>
      </pivotArea>
    </format>
    <format action="formatting" dxfId="318">
      <pivotArea type="normal" dataOnly="0" labelOnly="1" grandRow="1" outline="0" fieldPosition="0"/>
    </format>
    <format action="formatting" dxfId="31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6.xml><?xml version="1.0" encoding="utf-8"?>
<pivotTableDefinition xmlns:r="http://schemas.openxmlformats.org/officeDocument/2006/relationships" xmlns="http://schemas.openxmlformats.org/spreadsheetml/2006/main" name="PivotTable4" cacheId="23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258">
      <pivotArea type="all" dataOnly="0" outline="0" fieldPosition="0"/>
    </format>
    <format action="formatting" dxfId="259">
      <pivotArea type="normal" dataOnly="1" outline="0" collapsedLevelsAreSubtotals="1" fieldPosition="0"/>
    </format>
    <format action="formatting" dxfId="260">
      <pivotArea field="0" type="button" dataOnly="0" labelOnly="1" outline="0" axis="axisRow" fieldPosition="0"/>
    </format>
    <format action="formatting" dxfId="261">
      <pivotArea type="normal" dataOnly="0" labelOnly="1" grandRow="1" outline="0" fieldPosition="0"/>
    </format>
    <format action="formatting" dxfId="262">
      <pivotArea type="normal" dataOnly="0" labelOnly="1" outline="0" fieldPosition="0">
        <references count="1">
          <reference field="4294967294">
            <x v="0"/>
            <x v="1"/>
          </reference>
        </references>
      </pivotArea>
    </format>
    <format action="formatting" dxfId="263">
      <pivotArea type="all" dataOnly="0" outline="0" fieldPosition="0"/>
    </format>
    <format action="formatting" dxfId="264">
      <pivotArea type="normal" dataOnly="1" outline="0" collapsedLevelsAreSubtotals="1" fieldPosition="0"/>
    </format>
    <format action="formatting" dxfId="265">
      <pivotArea field="0" type="button" dataOnly="0" labelOnly="1" outline="0" axis="axisRow" fieldPosition="0"/>
    </format>
    <format action="formatting" dxfId="266">
      <pivotArea type="normal" dataOnly="0" labelOnly="1" grandRow="1" outline="0" fieldPosition="0"/>
    </format>
    <format action="formatting" dxfId="26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7.xml><?xml version="1.0" encoding="utf-8"?>
<pivotTableDefinition xmlns:r="http://schemas.openxmlformats.org/officeDocument/2006/relationships" xmlns="http://schemas.openxmlformats.org/spreadsheetml/2006/main" name="PivotTable1" cacheId="23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268">
      <pivotArea type="all" dataOnly="0" outline="0" fieldPosition="0"/>
    </format>
    <format action="formatting" dxfId="269">
      <pivotArea type="normal" dataOnly="1" outline="0" collapsedLevelsAreSubtotals="1" fieldPosition="0"/>
    </format>
    <format action="formatting" dxfId="270">
      <pivotArea field="0" type="button" dataOnly="0" labelOnly="1" outline="0" axis="axisRow" fieldPosition="0"/>
    </format>
    <format action="formatting" dxfId="271">
      <pivotArea type="normal" dataOnly="0" labelOnly="1" outline="1" fieldPosition="0">
        <references count="1">
          <reference field="0"/>
        </references>
      </pivotArea>
    </format>
    <format action="formatting" dxfId="272">
      <pivotArea type="normal" dataOnly="0" labelOnly="1" grandRow="1" outline="0" fieldPosition="0"/>
    </format>
    <format action="formatting" dxfId="273">
      <pivotArea type="normal" dataOnly="0" labelOnly="1" outline="0" fieldPosition="0">
        <references count="1">
          <reference field="4294967294">
            <x v="0"/>
            <x v="1"/>
          </reference>
        </references>
      </pivotArea>
    </format>
    <format action="formatting" dxfId="274">
      <pivotArea type="all" dataOnly="0" outline="0" fieldPosition="0"/>
    </format>
    <format action="formatting" dxfId="275">
      <pivotArea type="normal" dataOnly="1" outline="0" collapsedLevelsAreSubtotals="1" fieldPosition="0"/>
    </format>
    <format action="formatting" dxfId="276">
      <pivotArea field="0" type="button" dataOnly="0" labelOnly="1" outline="0" axis="axisRow" fieldPosition="0"/>
    </format>
    <format action="formatting" dxfId="277">
      <pivotArea type="normal" dataOnly="0" labelOnly="1" outline="1" fieldPosition="0">
        <references count="1">
          <reference field="0"/>
        </references>
      </pivotArea>
    </format>
    <format action="formatting" dxfId="278">
      <pivotArea type="normal" dataOnly="0" labelOnly="1" grandRow="1" outline="0" fieldPosition="0"/>
    </format>
    <format action="formatting" dxfId="27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8.xml><?xml version="1.0" encoding="utf-8"?>
<pivotTableDefinition xmlns:r="http://schemas.openxmlformats.org/officeDocument/2006/relationships" xmlns="http://schemas.openxmlformats.org/spreadsheetml/2006/main" name="PivotTable2" cacheId="23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2" firstHeaderRow="1"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Items count="1">
    <i t="data" r="0" i="0"/>
  </colItems>
  <dataFields count="1">
    <dataField name="Sum of Planned Vs Completed ratio" fld="14" subtotal="sum" showDataAs="normal" baseField="0" baseItem="0"/>
  </dataFields>
  <formats count="14">
    <format action="formatting" dxfId="280">
      <pivotArea type="all" dataOnly="0" outline="0" fieldPosition="0"/>
    </format>
    <format action="formatting" dxfId="281">
      <pivotArea type="normal" dataOnly="1" outline="0" collapsedLevelsAreSubtotals="1" fieldPosition="0"/>
    </format>
    <format action="formatting" dxfId="282">
      <pivotArea field="0" type="button" dataOnly="0" labelOnly="1" outline="0" axis="axisRow" fieldPosition="0"/>
    </format>
    <format action="formatting" dxfId="283">
      <pivotArea type="normal" dataOnly="0" labelOnly="1" outline="1" fieldPosition="0">
        <references count="1">
          <reference field="0"/>
        </references>
      </pivotArea>
    </format>
    <format action="formatting" dxfId="284">
      <pivotArea type="normal" dataOnly="0" labelOnly="1" grandRow="1" outline="0" fieldPosition="0"/>
    </format>
    <format action="formatting" dxfId="285">
      <pivotArea type="normal" dataOnly="0" labelOnly="1" outline="0" axis="axisValues" fieldPosition="0"/>
    </format>
    <format action="formatting" dxfId="286">
      <pivotArea type="all" dataOnly="0" outline="0" fieldPosition="0"/>
    </format>
    <format action="formatting" dxfId="287">
      <pivotArea type="normal" dataOnly="1" outline="0" collapsedLevelsAreSubtotals="1" fieldPosition="0"/>
    </format>
    <format action="formatting" dxfId="288">
      <pivotArea field="0" type="button" dataOnly="0" labelOnly="1" outline="0" axis="axisRow" fieldPosition="0"/>
    </format>
    <format action="formatting" dxfId="289">
      <pivotArea type="normal" dataOnly="0" labelOnly="1" outline="1" fieldPosition="0">
        <references count="1">
          <reference field="0"/>
        </references>
      </pivotArea>
    </format>
    <format action="formatting" dxfId="290">
      <pivotArea type="normal" dataOnly="0" labelOnly="1" grandRow="1" outline="0" fieldPosition="0"/>
    </format>
    <format action="formatting" dxfId="291">
      <pivotArea type="normal" dataOnly="0" labelOnly="1" outline="0" axis="axisValues" fieldPosition="0"/>
    </format>
    <format action="formatting" dxfId="292">
      <pivotArea type="normal" dataOnly="1" outline="1" collapsedLevelsAreSubtotals="1" fieldPosition="0">
        <references count="1">
          <reference field="0"/>
        </references>
      </pivotArea>
    </format>
    <format action="formatting" dxfId="293">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9.xml><?xml version="1.0" encoding="utf-8"?>
<pivotTableDefinition xmlns:r="http://schemas.openxmlformats.org/officeDocument/2006/relationships" xmlns="http://schemas.openxmlformats.org/spreadsheetml/2006/main" name="PivotTable3" cacheId="23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234">
      <pivotArea type="all" dataOnly="0" outline="0" fieldPosition="0"/>
    </format>
    <format action="formatting" dxfId="235">
      <pivotArea type="normal" dataOnly="1" outline="0" collapsedLevelsAreSubtotals="1" fieldPosition="0"/>
    </format>
    <format action="formatting" dxfId="236">
      <pivotArea field="0" type="button" dataOnly="0" labelOnly="1" outline="0" axis="axisRow" fieldPosition="0"/>
    </format>
    <format action="formatting" dxfId="237">
      <pivotArea type="normal" dataOnly="0" labelOnly="1" outline="1" fieldPosition="0">
        <references count="1">
          <reference field="0"/>
        </references>
      </pivotArea>
    </format>
    <format action="formatting" dxfId="238">
      <pivotArea type="normal" dataOnly="0" labelOnly="1" grandRow="1" outline="0" fieldPosition="0"/>
    </format>
    <format action="formatting" dxfId="239">
      <pivotArea type="normal" dataOnly="0" labelOnly="1" outline="0" fieldPosition="0">
        <references count="1">
          <reference field="4294967294">
            <x v="0"/>
            <x v="1"/>
          </reference>
        </references>
      </pivotArea>
    </format>
    <format action="formatting" dxfId="240">
      <pivotArea type="all" dataOnly="0" outline="0" fieldPosition="0"/>
    </format>
    <format action="formatting" dxfId="241">
      <pivotArea type="normal" dataOnly="1" outline="0" collapsedLevelsAreSubtotals="1" fieldPosition="0"/>
    </format>
    <format action="formatting" dxfId="242">
      <pivotArea field="0" type="button" dataOnly="0" labelOnly="1" outline="0" axis="axisRow" fieldPosition="0"/>
    </format>
    <format action="formatting" dxfId="243">
      <pivotArea type="normal" dataOnly="0" labelOnly="1" outline="1" fieldPosition="0">
        <references count="1">
          <reference field="0"/>
        </references>
      </pivotArea>
    </format>
    <format action="formatting" dxfId="244">
      <pivotArea type="normal" dataOnly="0" labelOnly="1" grandRow="1" outline="0" fieldPosition="0"/>
    </format>
    <format action="formatting" dxfId="24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0.xml><?xml version="1.0" encoding="utf-8"?>
<pivotTableDefinition xmlns:r="http://schemas.openxmlformats.org/officeDocument/2006/relationships" xmlns="http://schemas.openxmlformats.org/spreadsheetml/2006/main" name="PivotTable5" cacheId="23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246">
      <pivotArea type="all" dataOnly="0" outline="0" fieldPosition="0"/>
    </format>
    <format action="formatting" dxfId="247">
      <pivotArea type="normal" dataOnly="1" outline="0" collapsedLevelsAreSubtotals="1" fieldPosition="0"/>
    </format>
    <format action="formatting" dxfId="248">
      <pivotArea field="0" type="button" dataOnly="0" labelOnly="1" outline="0" axis="axisRow" fieldPosition="0"/>
    </format>
    <format action="formatting" dxfId="249">
      <pivotArea type="normal" dataOnly="0" labelOnly="1" outline="1" fieldPosition="0">
        <references count="1">
          <reference field="0"/>
        </references>
      </pivotArea>
    </format>
    <format action="formatting" dxfId="250">
      <pivotArea type="normal" dataOnly="0" labelOnly="1" grandRow="1" outline="0" fieldPosition="0"/>
    </format>
    <format action="formatting" dxfId="251">
      <pivotArea type="normal" dataOnly="0" labelOnly="1" outline="0" fieldPosition="0">
        <references count="1">
          <reference field="4294967294">
            <x v="0"/>
            <x v="1"/>
          </reference>
        </references>
      </pivotArea>
    </format>
    <format action="formatting" dxfId="252">
      <pivotArea type="all" dataOnly="0" outline="0" fieldPosition="0"/>
    </format>
    <format action="formatting" dxfId="253">
      <pivotArea type="normal" dataOnly="1" outline="0" collapsedLevelsAreSubtotals="1" fieldPosition="0"/>
    </format>
    <format action="formatting" dxfId="254">
      <pivotArea field="0" type="button" dataOnly="0" labelOnly="1" outline="0" axis="axisRow" fieldPosition="0"/>
    </format>
    <format action="formatting" dxfId="255">
      <pivotArea type="normal" dataOnly="0" labelOnly="1" outline="1" fieldPosition="0">
        <references count="1">
          <reference field="0"/>
        </references>
      </pivotArea>
    </format>
    <format action="formatting" dxfId="256">
      <pivotArea type="normal" dataOnly="0" labelOnly="1" grandRow="1" outline="0" fieldPosition="0"/>
    </format>
    <format action="formatting" dxfId="25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1.xml><?xml version="1.0" encoding="utf-8"?>
<pivotTableDefinition xmlns:r="http://schemas.openxmlformats.org/officeDocument/2006/relationships" xmlns="http://schemas.openxmlformats.org/spreadsheetml/2006/main" name="PivotTable5" cacheId="21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18">
        <item t="data" h="1" sd="1" m="1" x="114"/>
        <item t="data" h="1" sd="1" m="1" x="65"/>
        <item t="data" h="1" sd="1" m="1" x="81"/>
        <item t="data" h="1" sd="1" m="1" x="60"/>
        <item t="data" h="1" sd="1" m="1" x="54"/>
        <item t="data" h="1" sd="1" m="1" x="70"/>
        <item t="data" h="1" sd="1" m="1" x="111"/>
        <item t="data" h="1" sd="1" m="1" x="82"/>
        <item t="data" h="1" sd="1" m="1" x="75"/>
        <item t="data" h="1" sd="1" m="1" x="97"/>
        <item t="data" h="1" sd="1" m="1" x="95"/>
        <item t="data" h="1" sd="1" m="1" x="64"/>
        <item t="data" h="1" sd="1" m="1" x="87"/>
        <item t="data" h="1" sd="1" m="1" x="76"/>
        <item t="data" h="1" sd="1" m="1" x="91"/>
        <item t="data" h="1" sd="1" m="1" x="113"/>
        <item t="data" h="1" sd="1" m="1" x="78"/>
        <item t="data" h="1" sd="1" m="1" x="83"/>
        <item t="data" h="1" sd="1" m="1" x="79"/>
        <item t="data" h="1" sd="1" x="11"/>
        <item t="data" h="1" sd="1" m="1" x="101"/>
        <item t="data" h="1" sd="1" m="1" x="103"/>
        <item t="data" h="1" sd="1" m="1" x="107"/>
        <item t="data" h="1" sd="1" m="1" x="67"/>
        <item t="data" h="1" sd="1" m="1" x="63"/>
        <item t="data" h="1" sd="1" m="1" x="77"/>
        <item t="data" h="1" sd="1" m="1" x="59"/>
        <item t="data" h="1" sd="1" m="1" x="88"/>
        <item t="data" h="1" sd="1" m="1" x="116"/>
        <item t="data" h="1" sd="1" m="1" x="112"/>
        <item t="data" h="1" sd="1" m="1" x="52"/>
        <item t="data" h="1" sd="1" m="1" x="84"/>
        <item t="data" h="1" sd="1" m="1" x="68"/>
        <item t="data" h="1" sd="1" m="1" x="86"/>
        <item t="data" h="1" sd="1" m="1" x="108"/>
        <item t="data" h="1" sd="1" m="1" x="51"/>
        <item t="data" h="1" sd="1" m="1" x="66"/>
        <item t="data" h="1" sd="1" m="1" x="57"/>
        <item t="data" h="1" sd="1" m="1" x="85"/>
        <item t="data" h="1" sd="1" m="1" x="105"/>
        <item t="data" h="1" sd="1" m="1" x="58"/>
        <item t="data" h="1" sd="1" m="1" x="96"/>
        <item t="data" h="1" sd="1" m="1" x="99"/>
        <item t="data" h="1" sd="1" m="1" x="109"/>
        <item t="data" h="1" sd="1" m="1" x="110"/>
        <item t="data" h="1" sd="1" m="1" x="104"/>
        <item t="data" h="1" sd="1" m="1" x="74"/>
        <item t="data" h="1" sd="1" m="1" x="106"/>
        <item t="data" h="1" sd="1" m="1" x="72"/>
        <item t="data" h="1" sd="1" m="1" x="100"/>
        <item t="data" h="1" sd="1" m="1" x="55"/>
        <item t="data" h="1" sd="1" m="1" x="62"/>
        <item t="data" h="1" sd="1" m="1" x="89"/>
        <item t="data" h="1" sd="1" m="1" x="56"/>
        <item t="data" h="1" sd="1" m="1" x="115"/>
        <item t="data" h="1" sd="1" m="1" x="80"/>
        <item t="data" h="1" sd="1" m="1" x="93"/>
        <item t="data" h="1" sd="1" m="1" x="94"/>
        <item t="data" h="1" sd="1" m="1" x="90"/>
        <item t="data" h="1" sd="1" m="1" x="53"/>
        <item t="data" h="1" sd="1" m="1" x="92"/>
        <item t="data" h="1" sd="1" m="1" x="102"/>
        <item t="data" h="1" sd="1" m="1" x="98"/>
        <item t="data" h="1" sd="1" m="1" x="71"/>
        <item t="data" h="1" sd="1" m="1" x="69"/>
        <item t="data" h="1" sd="1" m="1" x="61"/>
        <item t="data" h="1" sd="1" m="1" x="73"/>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1"/>
    </i>
    <i t="data" r="0" i="0">
      <x v="112"/>
    </i>
    <i t="data" r="0" i="0">
      <x v="113"/>
    </i>
    <i t="data" r="0" i="0">
      <x v="114"/>
    </i>
    <i t="data" r="0" i="0">
      <x v="115"/>
    </i>
    <i t="data" r="0" i="0">
      <x v="116"/>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22.xml><?xml version="1.0" encoding="utf-8"?>
<pivotTableDefinition xmlns:r="http://schemas.openxmlformats.org/officeDocument/2006/relationships" xmlns="http://schemas.openxmlformats.org/spreadsheetml/2006/main" name="PivotTable7"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23.xml><?xml version="1.0" encoding="utf-8"?>
<pivotTableDefinition xmlns:r="http://schemas.openxmlformats.org/officeDocument/2006/relationships" xmlns="http://schemas.openxmlformats.org/spreadsheetml/2006/main" name="PivotTable8"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2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25.xml><?xml version="1.0" encoding="utf-8"?>
<pivotTableDefinition xmlns:r="http://schemas.openxmlformats.org/officeDocument/2006/relationships" xmlns="http://schemas.openxmlformats.org/spreadsheetml/2006/main" name="PivotTable21"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26.xml><?xml version="1.0" encoding="utf-8"?>
<pivotTableDefinition xmlns:r="http://schemas.openxmlformats.org/officeDocument/2006/relationships" xmlns="http://schemas.openxmlformats.org/spreadsheetml/2006/main" name="PivotTable20"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27.xml><?xml version="1.0" encoding="utf-8"?>
<pivotTableDefinition xmlns:r="http://schemas.openxmlformats.org/officeDocument/2006/relationships" xmlns="http://schemas.openxmlformats.org/spreadsheetml/2006/main" name="PivotTable5" cacheId="22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Items count="1">
    <i t="data" r="0" i="0"/>
  </colItems>
  <dataFields count="1">
    <dataField name="Sum of Planned Vs Completed ratio" fld="14" subtotal="sum" showDataAs="normal" baseField="0" baseItem="0"/>
  </dataFields>
  <formats count="6">
    <format action="formatting" dxfId="217">
      <pivotArea type="all" dataOnly="0" outline="0" fieldPosition="0"/>
    </format>
    <format action="formatting" dxfId="218">
      <pivotArea type="normal" dataOnly="1" outline="0" collapsedLevelsAreSubtotals="1" fieldPosition="0"/>
    </format>
    <format action="formatting" dxfId="219">
      <pivotArea field="0" type="button" dataOnly="0" labelOnly="1" outline="0" axis="axisRow" fieldPosition="0"/>
    </format>
    <format action="formatting" dxfId="220">
      <pivotArea type="normal" dataOnly="0" labelOnly="1" outline="1" fieldPosition="0">
        <references count="1">
          <reference field="0"/>
        </references>
      </pivotArea>
    </format>
    <format action="formatting" dxfId="221">
      <pivotArea type="normal" dataOnly="0" labelOnly="1" grandRow="1" outline="0" fieldPosition="0"/>
    </format>
    <format action="formatting" dxfId="222">
      <pivotArea type="normal" dataOnly="0" labelOnly="1" outline="0" axis="axisValues" fieldPosition="0"/>
    </format>
  </formats>
  <pivotTableStyleInfo name="PivotStyleLight16" showRowHeaders="1" showColHeaders="1" showRowStripes="0" showColStripes="0" showLastColumn="1"/>
</pivotTableDefinition>
</file>

<file path=xl/pivotTables/pivotTable28.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formats count="1">
    <format action="formatting" dxfId="223">
      <pivotArea type="all" dataOnly="0" outline="0" fieldPosition="0"/>
    </format>
  </formats>
  <pivotTableStyleInfo name="PivotStyleLight16" showRowHeaders="1" showColHeaders="1" showRowStripes="0" showColStripes="0" showLastColumn="1"/>
</pivotTableDefinition>
</file>

<file path=xl/pivotTables/pivotTable29.xml><?xml version="1.0" encoding="utf-8"?>
<pivotTableDefinition xmlns:r="http://schemas.openxmlformats.org/officeDocument/2006/relationships" xmlns="http://schemas.openxmlformats.org/spreadsheetml/2006/main" name="PivotTable20"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n="PL 7/7-7/21" t="data" h="1" sd="1" m="1" x="99"/>
        <item t="data" h="1" sd="1" x="16"/>
        <item t="data" h="1" sd="1" m="1" x="93"/>
        <item t="data" h="1" sd="1" m="1" x="94"/>
        <item t="data" h="1" sd="1" m="1" x="101"/>
        <item n="PL 7/7-7/212"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0">
    <format action="formatting" dxfId="224">
      <pivotArea type="all" dataOnly="0" outline="0" fieldPosition="0"/>
    </format>
    <format action="formatting" dxfId="225">
      <pivotArea type="normal" dataOnly="1" outline="0" collapsedLevelsAreSubtotals="1" fieldPosition="0"/>
    </format>
    <format action="formatting" dxfId="226">
      <pivotArea field="0" type="button" dataOnly="0" labelOnly="1" outline="0" axis="axisRow" fieldPosition="0"/>
    </format>
    <format action="formatting" dxfId="227">
      <pivotArea type="normal" dataOnly="0" labelOnly="1" outline="1" fieldPosition="0">
        <references count="1">
          <reference field="0"/>
        </references>
      </pivotArea>
    </format>
    <format action="formatting" dxfId="228">
      <pivotArea type="normal" dataOnly="0" labelOnly="1" grandRow="1" outline="0" fieldPosition="0"/>
    </format>
    <format action="formatting" dxfId="229">
      <pivotArea type="normal" dataOnly="0" labelOnly="1" outline="0" fieldPosition="0">
        <references count="1">
          <reference field="4294967294">
            <x v="0"/>
            <x v="1"/>
          </reference>
        </references>
      </pivotArea>
    </format>
    <format action="formatting" dxfId="230">
      <pivotArea field="0" type="button" dataOnly="0" labelOnly="1" outline="0" axis="axisRow" fieldPosition="0"/>
    </format>
    <format action="formatting" dxfId="231">
      <pivotArea type="normal" dataOnly="0" labelOnly="1" outline="0" fieldPosition="0">
        <references count="1">
          <reference field="4294967294">
            <x v="0"/>
            <x v="1"/>
          </reference>
        </references>
      </pivotArea>
    </format>
    <format action="formatting" dxfId="232">
      <pivotArea field="0" type="button" dataOnly="0" labelOnly="1" outline="0" axis="axisRow" fieldPosition="0"/>
    </format>
    <format action="formatting" dxfId="233">
      <pivotArea type="normal" dataOnly="0" labelOnly="1" outline="0" fieldPosition="0">
        <references count="1">
          <reference field="4294967294">
            <x v="0"/>
            <x v="1"/>
          </reference>
        </references>
      </pivotArea>
    </format>
  </format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30.xml><?xml version="1.0" encoding="utf-8"?>
<pivotTableDefinition xmlns:r="http://schemas.openxmlformats.org/officeDocument/2006/relationships" xmlns="http://schemas.openxmlformats.org/spreadsheetml/2006/main" name="PivotTable21"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0">
    <format action="formatting" dxfId="195">
      <pivotArea type="all" dataOnly="0" outline="0" fieldPosition="0"/>
    </format>
    <format action="formatting" dxfId="196">
      <pivotArea type="normal" dataOnly="1" outline="0" collapsedLevelsAreSubtotals="1" fieldPosition="0"/>
    </format>
    <format action="formatting" dxfId="197">
      <pivotArea field="0" type="button" dataOnly="0" labelOnly="1" outline="0" axis="axisRow" fieldPosition="0"/>
    </format>
    <format action="formatting" dxfId="198">
      <pivotArea type="normal" dataOnly="0" labelOnly="1" outline="1" fieldPosition="0">
        <references count="1">
          <reference field="0"/>
        </references>
      </pivotArea>
    </format>
    <format action="formatting" dxfId="199">
      <pivotArea type="normal" dataOnly="0" labelOnly="1" grandRow="1" outline="0" fieldPosition="0"/>
    </format>
    <format action="formatting" dxfId="200">
      <pivotArea type="normal" dataOnly="0" labelOnly="1" outline="0" fieldPosition="0">
        <references count="1">
          <reference field="4294967294">
            <x v="0"/>
            <x v="1"/>
          </reference>
        </references>
      </pivotArea>
    </format>
    <format action="formatting" dxfId="201">
      <pivotArea field="0" type="button" dataOnly="0" labelOnly="1" outline="0" axis="axisRow" fieldPosition="0"/>
    </format>
    <format action="formatting" dxfId="202">
      <pivotArea type="normal" dataOnly="0" labelOnly="1" outline="0" fieldPosition="0">
        <references count="1">
          <reference field="4294967294">
            <x v="0"/>
            <x v="1"/>
          </reference>
        </references>
      </pivotArea>
    </format>
    <format action="formatting" dxfId="203">
      <pivotArea field="0" type="button" dataOnly="0" labelOnly="1" outline="0" axis="axisRow" fieldPosition="0"/>
    </format>
    <format action="formatting" dxfId="2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1.xml><?xml version="1.0" encoding="utf-8"?>
<pivotTableDefinition xmlns:r="http://schemas.openxmlformats.org/officeDocument/2006/relationships" xmlns="http://schemas.openxmlformats.org/spreadsheetml/2006/main" name="PivotTable7"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6">
    <format action="formatting" dxfId="205">
      <pivotArea type="all" dataOnly="0" outline="0" fieldPosition="0"/>
    </format>
    <format action="formatting" dxfId="206">
      <pivotArea type="normal" dataOnly="1" outline="0" collapsedLevelsAreSubtotals="1" fieldPosition="0"/>
    </format>
    <format action="formatting" dxfId="207">
      <pivotArea field="0" type="button" dataOnly="0" labelOnly="1" outline="0" axis="axisRow" fieldPosition="0"/>
    </format>
    <format action="formatting" dxfId="208">
      <pivotArea type="normal" dataOnly="0" labelOnly="1" outline="1" fieldPosition="0">
        <references count="1">
          <reference field="0"/>
        </references>
      </pivotArea>
    </format>
    <format action="formatting" dxfId="209">
      <pivotArea type="normal" dataOnly="0" labelOnly="1" grandRow="1" outline="0" fieldPosition="0"/>
    </format>
    <format action="formatting" dxfId="21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2.xml><?xml version="1.0" encoding="utf-8"?>
<pivotTableDefinition xmlns:r="http://schemas.openxmlformats.org/officeDocument/2006/relationships" xmlns="http://schemas.openxmlformats.org/spreadsheetml/2006/main" name="PivotTable8"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6">
    <format action="formatting" dxfId="211">
      <pivotArea type="all" dataOnly="0" outline="0" fieldPosition="0"/>
    </format>
    <format action="formatting" dxfId="212">
      <pivotArea type="normal" dataOnly="1" outline="0" collapsedLevelsAreSubtotals="1" fieldPosition="0"/>
    </format>
    <format action="formatting" dxfId="213">
      <pivotArea field="0" type="button" dataOnly="0" labelOnly="1" outline="0" axis="axisRow" fieldPosition="0"/>
    </format>
    <format action="formatting" dxfId="214">
      <pivotArea type="normal" dataOnly="0" labelOnly="1" outline="1" fieldPosition="0">
        <references count="1">
          <reference field="0"/>
        </references>
      </pivotArea>
    </format>
    <format action="formatting" dxfId="215">
      <pivotArea type="normal" dataOnly="0" labelOnly="1" grandRow="1" outline="0" fieldPosition="0"/>
    </format>
    <format action="formatting" dxfId="2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3.xml><?xml version="1.0" encoding="utf-8"?>
<pivotTableDefinition xmlns:r="http://schemas.openxmlformats.org/officeDocument/2006/relationships" xmlns="http://schemas.openxmlformats.org/spreadsheetml/2006/main" name="PivotTable1"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2:AM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34.xml><?xml version="1.0" encoding="utf-8"?>
<pivotTableDefinition xmlns:r="http://schemas.openxmlformats.org/officeDocument/2006/relationships" xmlns="http://schemas.openxmlformats.org/spreadsheetml/2006/main" name="PivotTable2"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2:AQ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35.xml><?xml version="1.0" encoding="utf-8"?>
<pivotTableDefinition xmlns:r="http://schemas.openxmlformats.org/officeDocument/2006/relationships" xmlns="http://schemas.openxmlformats.org/spreadsheetml/2006/main" name="PivotTable25" cacheId="19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8" firstHeaderRow="0" firstDataRow="1" firstDataCol="1"/>
  <pivotFields count="10">
    <pivotField axis="axisRow" showDropDowns="1" compact="1" outline="1" subtotalTop="1" dragToRow="1" dragToCol="1" dragToPage="1" dragToData="1" dragOff="1" showAll="0" topAutoShow="1" itemPageCount="10" sortType="manual" defaultSubtotal="1">
      <items count="68">
        <item t="data" h="1" sd="1" m="1" x="30"/>
        <item t="data" h="1" sd="1" m="1" x="32"/>
        <item t="data" h="1" sd="1" m="1" x="33"/>
        <item t="data" h="1" sd="1" m="1" x="47"/>
        <item t="data" h="1" sd="1" m="1" x="42"/>
        <item t="data" h="1" sd="1" m="1" x="53"/>
        <item t="data" h="1" sd="1" m="1" x="25"/>
        <item t="data" h="1" sd="1" x="18"/>
        <item t="data" h="1" sd="1" m="1" x="61"/>
        <item t="data" h="1" sd="1" m="1" x="29"/>
        <item t="data" h="1" sd="1" m="1" x="63"/>
        <item t="data" h="1" sd="1" m="1" x="51"/>
        <item t="data" h="1" sd="1" m="1" x="23"/>
        <item t="data" h="1" sd="1" m="1" x="26"/>
        <item t="data" h="1" sd="1" m="1" x="58"/>
        <item t="data" h="1" sd="1" m="1" x="55"/>
        <item t="data" h="1" sd="1" m="1" x="59"/>
        <item t="data" h="1" sd="1" m="1" x="49"/>
        <item t="data" h="1" sd="1" m="1" x="62"/>
        <item t="data" h="1" sd="1" m="1" x="38"/>
        <item t="data" h="1" sd="1" m="1" x="20"/>
        <item t="data" h="1" sd="1" m="1" x="60"/>
        <item t="data" h="1" sd="1" m="1" x="41"/>
        <item t="data" h="1" sd="1" m="1" x="50"/>
        <item t="data" h="1" sd="1" m="1" x="40"/>
        <item t="data" h="1" sd="1" m="1" x="64"/>
        <item t="data" h="1" sd="1" m="1" x="54"/>
        <item t="data" h="1" sd="1" m="1" x="19"/>
        <item t="data" h="1" sd="1" m="1" x="52"/>
        <item t="data" h="1" sd="1" m="1" x="65"/>
        <item t="data" h="1" sd="1" m="1" x="39"/>
        <item t="data" h="1" sd="1" m="1" x="27"/>
        <item t="data" h="1" sd="1" m="1" x="66"/>
        <item t="data" h="1" sd="1" m="1" x="36"/>
        <item t="data" h="1" sd="1" m="1" x="48"/>
        <item t="data" h="1" sd="1" m="1" x="43"/>
        <item t="data" h="1" sd="1" m="1" x="24"/>
        <item t="data" h="1" sd="1" m="1" x="56"/>
        <item t="data" h="1" sd="1" m="1" x="35"/>
        <item t="data" h="1" sd="1" m="1" x="34"/>
        <item t="data" h="1" sd="1" m="1" x="46"/>
        <item t="data" h="1" sd="1" m="1" x="45"/>
        <item t="data" h="1" sd="1" m="1" x="22"/>
        <item t="data" h="1" sd="1" m="1" x="21"/>
        <item t="data" h="1" sd="1" m="1" x="44"/>
        <item t="data" h="1" sd="1" m="1" x="28"/>
        <item t="data" h="1" sd="1" m="1" x="31"/>
        <item t="data" h="1" sd="1" m="1" x="57"/>
        <item t="data" h="1" sd="1" m="1" x="37"/>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36.xml><?xml version="1.0" encoding="utf-8"?>
<pivotTableDefinition xmlns:r="http://schemas.openxmlformats.org/officeDocument/2006/relationships" xmlns="http://schemas.openxmlformats.org/spreadsheetml/2006/main" name="PivotTable2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8" firstHeaderRow="0" firstDataRow="1" firstDataCol="1"/>
  <pivotFields count="15">
    <pivotField axis="axisRow" showDropDowns="1" compact="1" outline="1" subtotalTop="1" dragToRow="1" dragToCol="1" multipleItemSelectionAllowed="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x="18"/>
        <item t="data" h="1" sd="1" m="1" x="62"/>
        <item t="data" h="1" sd="1" m="1" x="29"/>
        <item t="data" h="1" sd="1" m="1" x="65"/>
        <item t="data" h="1" sd="1" m="1" x="52"/>
        <item t="data" h="1" sd="1" m="1" x="23"/>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7.xml><?xml version="1.0" encoding="utf-8"?>
<pivotTableDefinition xmlns:r="http://schemas.openxmlformats.org/officeDocument/2006/relationships" xmlns="http://schemas.openxmlformats.org/spreadsheetml/2006/main" name="PivotTable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2:AL49" firstHeaderRow="1" firstDataRow="1" firstDataCol="1"/>
  <pivotFields count="15">
    <pivotField axis="axisRow" showDropDowns="1" compact="1" outline="1" subtotalTop="1" dragToRow="1" dragToCol="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m="1" x="62"/>
        <item t="data" h="1" sd="1" m="1" x="29"/>
        <item t="data" h="1" sd="1" m="1" x="65"/>
        <item t="data" h="1" sd="1" m="1" x="52"/>
        <item t="data" h="1" sd="1" m="1" x="23"/>
        <item t="data" h="1" sd="1" x="18"/>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38.xml><?xml version="1.0" encoding="utf-8"?>
<pivotTableDefinition xmlns:r="http://schemas.openxmlformats.org/officeDocument/2006/relationships" xmlns="http://schemas.openxmlformats.org/spreadsheetml/2006/main" name="PivotTable5"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9.xml><?xml version="1.0" encoding="utf-8"?>
<pivotTableDefinition xmlns:r="http://schemas.openxmlformats.org/officeDocument/2006/relationships" xmlns="http://schemas.openxmlformats.org/spreadsheetml/2006/main" name="PivotTable6"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0.xml><?xml version="1.0" encoding="utf-8"?>
<pivotTableDefinition xmlns:r="http://schemas.openxmlformats.org/officeDocument/2006/relationships" xmlns="http://schemas.openxmlformats.org/spreadsheetml/2006/main" name="PivotTable2"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1:AU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1">
    <format action="formatting" dxfId="194">
      <pivotArea type="normal" dataOnly="1" outline="0" collapsedLevelsAreSubtotals="1" fieldPosition="0"/>
    </format>
  </formats>
  <pivotTableStyleInfo name="PivotStyleLight16" showRowHeaders="1" showColHeaders="1" showRowStripes="0" showColStripes="0" showLastColumn="1"/>
</pivotTableDefinition>
</file>

<file path=xl/pivotTables/pivotTable41.xml><?xml version="1.0" encoding="utf-8"?>
<pivotTableDefinition xmlns:r="http://schemas.openxmlformats.org/officeDocument/2006/relationships" xmlns="http://schemas.openxmlformats.org/spreadsheetml/2006/main" name="PivotTable3"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21:AU2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2.xml><?xml version="1.0" encoding="utf-8"?>
<pivotTableDefinition xmlns:r="http://schemas.openxmlformats.org/officeDocument/2006/relationships" xmlns="http://schemas.openxmlformats.org/spreadsheetml/2006/main" name="PivotTable4" cacheId="19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K29" firstHeaderRow="1"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3.xml><?xml version="1.0" encoding="utf-8"?>
<pivotTableDefinition xmlns:r="http://schemas.openxmlformats.org/officeDocument/2006/relationships" xmlns="http://schemas.openxmlformats.org/spreadsheetml/2006/main" name="PivotTable23"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E1:BG6" firstHeaderRow="0" firstDataRow="1" firstDataCol="1"/>
  <pivotFields count="15">
    <pivotField axis="axisRow"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5">
    <i t="data" r="0" i="0">
      <x v="0"/>
    </i>
    <i t="data" r="0" i="0">
      <x v="1"/>
    </i>
    <i t="data" r="0" i="0">
      <x v="2"/>
    </i>
    <i t="data" r="0" i="0">
      <x v="3"/>
    </i>
    <i t="grand" r="0" i="0">
      <x v="0"/>
    </i>
  </rowItems>
  <colFields count="1">
    <field x="-2"/>
  </colFields>
  <colItems count="2">
    <i t="data" r="0" i="0">
      <x v="0"/>
    </i>
    <i t="data" r="0" i="1">
      <x v="1"/>
    </i>
  </colItems>
  <dataFields count="2">
    <dataField name="Sum of V2 Reopen Percentage" fld="10" subtotal="sum" showDataAs="percentOfTotal" baseField="0" baseItem="4294967295" numFmtId="1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4.xml><?xml version="1.0" encoding="utf-8"?>
<pivotTableDefinition xmlns:r="http://schemas.openxmlformats.org/officeDocument/2006/relationships" xmlns="http://schemas.openxmlformats.org/spreadsheetml/2006/main" name="PivotTable11"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1" firstHeaderRow="0" firstDataRow="1" firstDataCol="1"/>
  <pivotFields count="10">
    <pivotField axis="axisRow" showDropDowns="1" compact="1" outline="1" subtotalTop="1" dragToRow="1" dragToCol="1" dragToPage="1" dragToData="1" dragOff="1" showAll="0" topAutoShow="1" itemPageCount="10" sortType="ascending" defaultSubtotal="1">
      <items count="193">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m="1" x="163"/>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m="1" x="86"/>
        <item t="data" h="1" sd="1" m="1" x="181"/>
        <item t="data" h="1" sd="1" m="1" x="105"/>
        <item t="data" h="1" sd="1" m="1" x="159"/>
        <item t="data" h="1" sd="1" x="40"/>
        <item t="data" h="1" sd="1" x="41"/>
        <item t="data" h="1" sd="1" m="1" x="168"/>
        <item t="data" h="1" sd="1" x="42"/>
        <item t="data" h="1" sd="1" m="1" x="78"/>
        <item t="data" h="1" sd="1" x="43"/>
        <item t="data" h="1" sd="1" m="1" x="170"/>
        <item t="data" h="1" sd="1" x="44"/>
        <item t="data" h="1" sd="1" m="1" x="180"/>
        <item t="data" h="1" sd="1" x="45"/>
        <item t="data" h="1" sd="1" x="46"/>
        <item t="data" h="1" sd="1" m="1" x="62"/>
        <item t="data" h="1" sd="1" m="1" x="100"/>
        <item t="data" h="1" sd="1" x="47"/>
        <item t="data" h="1" sd="1" m="1" x="127"/>
        <item t="data" h="1" sd="1" x="48"/>
        <item t="data" h="1" sd="1" m="1" x="63"/>
        <item t="data" h="1" sd="1" m="1" x="82"/>
        <item t="data" h="1" sd="1" m="1" x="55"/>
        <item t="data" h="1" sd="1" m="1" x="175"/>
        <item t="data" h="1" sd="1" x="49"/>
        <item t="data" h="1" sd="1" m="1" x="128"/>
        <item t="data" h="1" sd="1" m="1" x="172"/>
        <item t="data" h="1" sd="1" x="50"/>
        <item t="data" h="1" sd="1" m="1" x="189"/>
        <item t="data" h="1" sd="1" m="1" x="139"/>
        <item t="data" h="1" sd="1" m="1" x="71"/>
        <item t="data" h="1" sd="1" x="51"/>
        <item t="data" h="1" sd="1" m="1" x="171"/>
        <item t="data" h="1" sd="1" m="1" x="154"/>
        <item t="data" h="1" sd="1" m="1" x="102"/>
        <item t="data" h="1" sd="1" x="52"/>
        <item t="data" h="1" sd="1" m="1" x="112"/>
        <item t="data" h="1" sd="1" m="1" x="177"/>
        <item t="data" h="1" sd="1" x="0"/>
        <item t="data" h="1" sd="1" m="1" x="64"/>
        <item t="data" h="1" sd="1" m="1" x="81"/>
        <item t="data" h="1" sd="1" m="1" x="191"/>
        <item t="data" h="1" sd="1" m="1" x="120"/>
        <item t="data" h="1" sd="1" m="1" x="119"/>
        <item t="data" h="1" sd="1" m="1" x="133"/>
        <item t="data" h="1" sd="1" m="1" x="79"/>
        <item t="data" h="1" sd="1" m="1" x="156"/>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m="1" x="160"/>
        <item t="data" h="1" sd="1" m="1" x="107"/>
        <item t="data" h="1" sd="1" m="1" x="164"/>
        <item t="data" h="1" sd="1" m="1" x="61"/>
        <item t="data" h="1" sd="1" m="1" x="89"/>
        <item t="data" h="1" sd="1" m="1" x="56"/>
        <item t="data" h="1" sd="1" m="1" x="147"/>
        <item t="data" h="1" sd="1" m="1" x="134"/>
        <item t="data" h="1" sd="1" m="1" x="122"/>
        <item t="data" h="1" sd="1" m="1" x="111"/>
        <item t="data" h="1" sd="1" m="1" x="129"/>
        <item t="data" h="1" sd="1" m="1" x="113"/>
        <item t="data" h="1" sd="1" m="1" x="103"/>
        <item t="data" h="1" sd="1" m="1" x="161"/>
        <item t="data" h="1" sd="1" m="1" x="108"/>
        <item t="data" h="1" sd="1" m="1" x="92"/>
        <item t="data" h="1" sd="1" m="1" x="152"/>
        <item t="data" h="1" sd="1" m="1" x="142"/>
        <item t="data" h="1" sd="1" m="1" x="97"/>
        <item t="data" h="1" sd="1" m="1" x="158"/>
        <item t="data" h="1" sd="1" m="1" x="145"/>
        <item t="data" h="1" sd="1" m="1" x="74"/>
        <item t="data" h="1" sd="1" m="1" x="132"/>
        <item t="data" h="1" sd="1" m="1" x="144"/>
        <item t="data" h="1" sd="1" m="1" x="176"/>
        <item t="data" h="1" sd="1" m="1" x="188"/>
        <item t="data" h="1" sd="1" m="1" x="138"/>
        <item t="data" h="1" sd="1" m="1" x="118"/>
        <item t="data" h="1" sd="1" m="1" x="131"/>
        <item t="data" h="1" sd="1" m="1" x="125"/>
        <item t="data" h="1" sd="1" m="1" x="57"/>
        <item t="data" h="1" sd="1" m="1" x="116"/>
        <item t="data" h="1" sd="1" m="1" x="130"/>
        <item t="data" h="1" sd="1" m="1" x="58"/>
        <item t="data" h="1" sd="1" m="1" x="75"/>
        <item t="data" sd="1" m="1" x="109"/>
        <item t="data" sd="1" m="1" x="93"/>
        <item t="data" h="1" sd="1" m="1" x="165"/>
        <item t="data" h="1" sd="1" m="1" x="60"/>
        <item t="data" h="1" sd="1" m="1" x="178"/>
        <item t="data" h="1" sd="1" m="1" x="91"/>
        <item t="data" h="1" sd="1" m="1" x="106"/>
        <item t="data" h="1" sd="1" m="1" x="84"/>
        <item t="data" h="1" sd="1" m="1" x="68"/>
        <item t="data" h="1" sd="1" m="1" x="179"/>
        <item t="data" h="1" sd="1" m="1" x="187"/>
        <item t="data" h="1" sd="1" m="1" x="69"/>
        <item t="data" h="1" sd="1" m="1" x="140"/>
        <item t="data" h="1" sd="1" m="1" x="90"/>
        <item t="data" h="1" sd="1" m="1" x="94"/>
        <item t="data" h="1" sd="1" m="1" x="149"/>
        <item t="data" h="1" sd="1" m="1" x="173"/>
        <item t="data" h="1" sd="1" m="1" x="117"/>
        <item t="data" h="1" sd="1" m="1" x="72"/>
        <item t="data" h="1" sd="1" m="1" x="85"/>
        <item t="data" h="1" sd="1" m="1" x="98"/>
        <item t="data" h="1" sd="1" m="1" x="155"/>
        <item t="data" h="1" sd="1" m="1" x="135"/>
        <item t="data" h="1" sd="1" m="1" x="137"/>
        <item t="data" h="1" sd="1" m="1" x="157"/>
        <item t="data" h="1" sd="1" m="1" x="146"/>
        <item t="data" h="1" sd="1" m="1" x="148"/>
        <item t="data" h="1" sd="1" m="1" x="99"/>
        <item t="data" h="1" sd="1" m="1" x="186"/>
        <item t="data" h="1" sd="1" m="1" x="153"/>
        <item t="data" h="1" sd="1" m="1" x="174"/>
        <item t="data" h="1" sd="1" m="1" x="136"/>
        <item t="data" h="1" sd="1" m="1" x="169"/>
        <item t="data" h="1" sd="1" m="1" x="150"/>
        <item t="data" h="1" sd="1" m="1" x="183"/>
        <item t="data" h="1" sd="1" m="1" x="73"/>
        <item t="data" h="1" sd="1" m="1" x="88"/>
        <item t="data" h="1" sd="1" m="1" x="96"/>
        <item t="data" h="1" sd="1" m="1" x="95"/>
        <item t="data" h="1" sd="1" m="1" x="115"/>
        <item t="data" h="1" sd="1" m="1" x="70"/>
        <item t="data" h="1" sd="1" m="1" x="67"/>
        <item t="data" h="1" sd="1" m="1" x="110"/>
        <item t="data" h="1" sd="1" m="1" x="77"/>
        <item t="data" h="1" sd="1" m="1" x="151"/>
        <item t="data" h="1" sd="1" m="1" x="190"/>
        <item t="data" sd="1" m="1" x="76"/>
        <item t="data" sd="1" m="1" x="59"/>
        <item t="data" sd="1" m="1" x="124"/>
        <item t="data" h="1" sd="1" x="5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45.xml><?xml version="1.0" encoding="utf-8"?>
<pivotTableDefinition xmlns:r="http://schemas.openxmlformats.org/officeDocument/2006/relationships" xmlns="http://schemas.openxmlformats.org/spreadsheetml/2006/main" name="PivotTable12"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6" firstHeaderRow="0" firstDataRow="1" firstDataCol="1"/>
  <pivotFields count="10">
    <pivotField axis="axisRow" showDropDowns="1" compact="1" outline="1" subtotalTop="1" dragToRow="1" dragToCol="1" dragToPage="1" dragToData="1" dragOff="1" showAll="0" topAutoShow="1" itemPageCount="10" sortType="manual" defaultSubtotal="1">
      <items count="193">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x="53"/>
        <item t="data" h="1" sd="1" m="1" x="160"/>
        <item t="data" h="1" sd="1" m="1" x="107"/>
        <item t="data" h="1" sd="1" m="1" x="164"/>
        <item t="data" h="1" sd="1" m="1" x="61"/>
        <item t="data" h="1" sd="1" m="1" x="89"/>
        <item t="data" h="1" sd="1" m="1" x="56"/>
        <item t="data" h="1" sd="1" m="1" x="180"/>
        <item t="data" h="1" sd="1" m="1" x="168"/>
        <item t="data" h="1" sd="1" m="1" x="78"/>
        <item t="data" h="1" sd="1" m="1" x="170"/>
        <item t="data" h="1" sd="1" m="1" x="100"/>
        <item t="data" h="1" sd="1" m="1" x="175"/>
        <item t="data" h="1" sd="1" m="1" x="62"/>
        <item t="data" h="1" sd="1" m="1" x="127"/>
        <item t="data" h="1" sd="1" m="1" x="55"/>
        <item t="data" h="1" sd="1" m="1" x="81"/>
        <item t="data" h="1" sd="1" m="1" x="71"/>
        <item t="data" h="1" sd="1" m="1" x="102"/>
        <item t="data" h="1" sd="1" m="1" x="64"/>
        <item t="data" h="1" sd="1" m="1" x="159"/>
        <item t="data" h="1" sd="1" m="1" x="86"/>
        <item t="data" h="1" sd="1" m="1" x="181"/>
        <item t="data" h="1" sd="1" m="1" x="105"/>
        <item t="data" h="1" sd="1" m="1" x="191"/>
        <item t="data" h="1" sd="1" m="1" x="133"/>
        <item t="data" h="1" sd="1" m="1" x="120"/>
        <item t="data" h="1" sd="1" m="1" x="119"/>
        <item t="data" h="1" sd="1" m="1" x="79"/>
        <item t="data" h="1" sd="1" m="1" x="156"/>
        <item t="data" h="1" sd="1" m="1" x="165"/>
        <item t="data" h="1" sd="1" m="1" x="60"/>
        <item t="data" h="1" sd="1" m="1" x="178"/>
        <item t="data" h="1" sd="1" m="1" x="68"/>
        <item t="data" h="1" sd="1" m="1" x="91"/>
        <item t="data" h="1" sd="1" m="1" x="106"/>
        <item t="data" h="1" sd="1" m="1" x="84"/>
        <item t="data" h="1" sd="1" m="1" x="90"/>
        <item t="data" h="1" sd="1" m="1" x="179"/>
        <item t="data" h="1" sd="1" m="1" x="187"/>
        <item t="data" h="1" sd="1" m="1" x="69"/>
        <item t="data" h="1" sd="1" m="1" x="140"/>
        <item t="data" h="1" sd="1" m="1" x="117"/>
        <item t="data" h="1" sd="1" m="1" x="94"/>
        <item t="data" h="1" sd="1" m="1" x="149"/>
        <item t="data" h="1" sd="1" m="1" x="173"/>
        <item t="data" h="1" sd="1" m="1" x="155"/>
        <item t="data" h="1" sd="1" m="1" x="72"/>
        <item t="data" h="1" sd="1" m="1" x="85"/>
        <item t="data" h="1" sd="1" m="1" x="98"/>
        <item t="data" h="1" sd="1" m="1" x="148"/>
        <item t="data" h="1" sd="1" m="1" x="174"/>
        <item t="data" h="1" sd="1" m="1" x="135"/>
        <item t="data" h="1" sd="1" m="1" x="157"/>
        <item t="data" h="1" sd="1" m="1" x="186"/>
        <item t="data" h="1" sd="1" m="1" x="110"/>
        <item t="data" h="1" sd="1" m="1" x="183"/>
        <item t="data" h="1" sd="1" m="1" x="88"/>
        <item t="data" h="1" sd="1" m="1" x="95"/>
        <item t="data" h="1" sd="1" m="1" x="70"/>
        <item t="data" h="1" sd="1" m="1" x="169"/>
        <item t="data" h="1" sd="1" m="1" x="99"/>
        <item t="data" h="1" sd="1" m="1" x="136"/>
        <item t="data" h="1" sd="1" m="1" x="137"/>
        <item t="data" h="1" sd="1" m="1" x="146"/>
        <item t="data" h="1" sd="1" m="1" x="153"/>
        <item t="data" h="1" sd="1" m="1" x="77"/>
        <item t="data" h="1" sd="1" m="1" x="73"/>
        <item t="data" h="1" sd="1" m="1" x="96"/>
        <item t="data" h="1" sd="1" m="1" x="115"/>
        <item t="data" h="1" sd="1" m="1" x="67"/>
        <item t="data" h="1" sd="1" m="1" x="150"/>
        <item t="data" h="1" sd="1" m="1" x="118"/>
        <item t="data" h="1" sd="1" m="1" x="74"/>
        <item t="data" h="1" sd="1" m="1" x="144"/>
        <item t="data" h="1" sd="1" m="1" x="188"/>
        <item t="data" h="1" sd="1" m="1" x="131"/>
        <item t="data" h="1" sd="1" m="1" x="57"/>
        <item t="data" h="1" sd="1" m="1" x="130"/>
        <item t="data" h="1" sd="1" m="1" x="75"/>
        <item t="data" h="1" sd="1" m="1" x="63"/>
        <item t="data" h="1" sd="1" m="1" x="128"/>
        <item t="data" h="1" sd="1" m="1" x="189"/>
        <item t="data" h="1" sd="1" m="1" x="171"/>
        <item t="data" h="1" sd="1" m="1" x="112"/>
        <item t="data" h="1" sd="1" m="1" x="116"/>
        <item t="data" h="1" sd="1" m="1" x="58"/>
        <item t="data" h="1" sd="1" m="1" x="82"/>
        <item t="data" h="1" sd="1" m="1" x="172"/>
        <item t="data" h="1" sd="1" m="1" x="139"/>
        <item t="data" h="1" sd="1" m="1" x="154"/>
        <item t="data" h="1" sd="1" m="1" x="177"/>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163"/>
        <item t="data" h="1" sd="1" m="1" x="147"/>
        <item t="data" h="1" sd="1" m="1" x="134"/>
        <item t="data" h="1" sd="1" m="1" x="122"/>
        <item t="data" h="1" sd="1" m="1" x="111"/>
        <item t="data" h="1" sd="1" m="1" x="129"/>
        <item t="data" h="1" sd="1" m="1" x="113"/>
        <item t="data" h="1" sd="1" m="1" x="151"/>
        <item t="data" h="1" sd="1" m="1" x="190"/>
        <item t="data" h="1" sd="1" m="1" x="103"/>
        <item t="data" h="1" sd="1" m="1" x="161"/>
        <item t="data" h="1" sd="1" m="1" x="108"/>
        <item t="data" h="1" sd="1" m="1" x="92"/>
        <item t="data" h="1" sd="1" m="1" x="152"/>
        <item t="data" h="1" sd="1" m="1" x="142"/>
        <item t="data" h="1" sd="1" m="1" x="97"/>
        <item t="data" h="1" sd="1" m="1" x="158"/>
        <item t="data" sd="1" m="1" x="145"/>
        <item t="data" sd="1" m="1" x="132"/>
        <item t="data" sd="1" m="1" x="176"/>
        <item t="data" sd="1" m="1" x="138"/>
        <item t="data" sd="1" m="1" x="125"/>
        <item t="data" sd="1" m="1" x="76"/>
        <item t="data" sd="1" m="1" x="59"/>
        <item t="data" sd="1" m="1" x="124"/>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sd="1" x="47"/>
        <item t="data" sd="1" x="48"/>
        <item t="data" sd="1" x="49"/>
        <item t="data" sd="1" x="50"/>
        <item t="data" sd="1" m="1" x="109"/>
        <item t="data" sd="1" m="1" x="93"/>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84"/>
    </i>
    <i t="data" r="0" i="0">
      <x v="185"/>
    </i>
    <i t="data" r="0" i="0">
      <x v="186"/>
    </i>
    <i t="data" r="0" i="0">
      <x v="18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6.xml><?xml version="1.0" encoding="utf-8"?>
<pivotTableDefinition xmlns:r="http://schemas.openxmlformats.org/officeDocument/2006/relationships" xmlns="http://schemas.openxmlformats.org/spreadsheetml/2006/main" name="PivotTable13" cacheId="19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70:AL71" firstHeaderRow="1" firstDataRow="1" firstDataCol="1"/>
  <pivotFields count="16">
    <pivotField axis="axisRow" showDropDowns="1" compact="1" outline="1" subtotalTop="1" dragToRow="1" dragToCol="1" dragToPage="1" dragToData="1" dragOff="1" showAll="0" topAutoShow="1" itemPageCount="10" sortType="manual" defaultSubtotal="1">
      <items count="178">
        <item t="data" h="1" sd="1" m="1" x="130"/>
        <item t="data" h="1" sd="1" m="1" x="175"/>
        <item t="data" h="1" sd="1" m="1" x="85"/>
        <item t="data" h="1" sd="1" m="1" x="162"/>
        <item t="data" h="1" sd="1" m="1" x="126"/>
        <item t="data" h="1" sd="1" m="1" x="100"/>
        <item t="data" h="1" sd="1" m="1" x="176"/>
        <item t="data" h="1" sd="1" m="1" x="151"/>
        <item t="data" h="1" sd="1" m="1" x="82"/>
        <item t="data" h="1" sd="1" m="1" x="118"/>
        <item t="data" h="1" sd="1" m="1" x="158"/>
        <item t="data" h="1" sd="1" m="1" x="101"/>
        <item t="data" h="1" sd="1" m="1" x="92"/>
        <item t="data" h="1" sd="1" m="1" x="107"/>
        <item t="data" h="1" sd="1" m="1" x="86"/>
        <item t="data" h="1" sd="1" m="1" x="169"/>
        <item t="data" h="1" sd="1" m="1" x="90"/>
        <item t="data" h="1" sd="1" m="1" x="128"/>
        <item t="data" h="1" sd="1" m="1" x="114"/>
        <item t="data" h="1" sd="1" m="1" x="164"/>
        <item t="data" h="1" sd="1" m="1" x="93"/>
        <item t="data" h="1" sd="1" m="1" x="163"/>
        <item t="data" h="1" sd="1" m="1" x="94"/>
        <item t="data" h="1" sd="1" m="1" x="95"/>
        <item t="data" h="1" sd="1" m="1" x="160"/>
        <item t="data" h="1" sd="1" m="1" x="88"/>
        <item t="data" h="1" sd="1" m="1" x="89"/>
        <item t="data" h="1" sd="1" m="1" x="168"/>
        <item t="data" h="1" sd="1" m="1" x="148"/>
        <item t="data" h="1" sd="1" m="1" x="147"/>
        <item t="data" h="1" sd="1" m="1" x="123"/>
        <item t="data" h="1" sd="1" m="1" x="159"/>
        <item t="data" h="1" sd="1" m="1" x="161"/>
        <item t="data" h="1" sd="1" m="1" x="119"/>
        <item t="data" h="1" sd="1" m="1" x="153"/>
        <item t="data" h="1" sd="1" m="1" x="80"/>
        <item t="data" h="1" sd="1" m="1" x="81"/>
        <item t="data" h="1" sd="1" m="1" x="109"/>
        <item t="data" h="1" sd="1" m="1" x="141"/>
        <item t="data" h="1" sd="1" m="1" x="143"/>
        <item t="data" h="1" sd="1" m="1" x="117"/>
        <item t="data" h="1" sd="1" m="1" x="156"/>
        <item t="data" h="1" sd="1" m="1" x="99"/>
        <item t="data" h="1" sd="1" m="1" x="77"/>
        <item t="data" h="1" sd="1" m="1" x="110"/>
        <item t="data" h="1" sd="1" m="1" x="112"/>
        <item t="data" h="1" sd="1" m="1" x="84"/>
        <item t="data" h="1" sd="1" x="53"/>
        <item t="data" h="1" sd="1" m="1" x="142"/>
        <item t="data" h="1" sd="1" m="1" x="103"/>
        <item t="data" h="1" sd="1" m="1" x="131"/>
        <item t="data" h="1" sd="1" m="1" x="106"/>
        <item t="data" h="1" sd="1" m="1" x="105"/>
        <item t="data" h="1" sd="1" m="1" x="129"/>
        <item t="data" h="1" sd="1" m="1" x="122"/>
        <item t="data" h="1" sd="1" m="1" x="146"/>
        <item t="data" h="1" sd="1" m="1" x="157"/>
        <item t="data" h="1" sd="1" m="1" x="137"/>
        <item t="data" h="1" sd="1" m="1" x="155"/>
        <item t="data" h="1" sd="1" m="1" x="174"/>
        <item t="data" h="1" sd="1" m="1" x="152"/>
        <item t="data" h="1" sd="1" m="1" x="149"/>
        <item t="data" h="1" sd="1" m="1" x="165"/>
        <item t="data" h="1" sd="1" m="1" x="171"/>
        <item t="data" h="1" sd="1" m="1" x="144"/>
        <item t="data" h="1" sd="1" m="1" x="136"/>
        <item t="data" h="1" sd="1" m="1" x="173"/>
        <item t="data" h="1" sd="1" m="1" x="91"/>
        <item t="data" h="1" sd="1" m="1" x="111"/>
        <item t="data" h="1" sd="1" m="1" x="154"/>
        <item t="data" h="1" sd="1" m="1" x="102"/>
        <item t="data" h="1" sd="1" m="1" x="98"/>
        <item t="data" h="1" sd="1" m="1" x="108"/>
        <item t="data" h="1" sd="1" m="1" x="87"/>
        <item t="data" h="1" sd="1" m="1" x="124"/>
        <item t="data" h="1" sd="1" m="1" x="83"/>
        <item t="data" h="1" sd="1" m="1" x="115"/>
        <item t="data" h="1" sd="1" m="1" x="96"/>
        <item t="data" h="1" sd="1" m="1" x="97"/>
        <item t="data" h="1" sd="1" m="1" x="120"/>
        <item t="data" h="1" sd="1" m="1" x="167"/>
        <item t="data" h="1" sd="1" m="1" x="135"/>
        <item t="data" h="1" sd="1" m="1" x="166"/>
        <item t="data" h="1" sd="1" m="1" x="140"/>
        <item t="data" h="1" sd="1" m="1" x="78"/>
        <item t="data" h="1" sd="1" m="1" x="150"/>
        <item t="data" h="1" sd="1" m="1" x="139"/>
        <item t="data" h="1" sd="1" m="1" x="170"/>
        <item t="data" h="1" sd="1" m="1" x="134"/>
        <item t="data" h="1" sd="1" m="1" x="104"/>
        <item t="data" h="1" sd="1" m="1" x="132"/>
        <item t="data" h="1" sd="1" m="1" x="116"/>
        <item t="data" h="1" sd="1" m="1" x="79"/>
        <item t="data" h="1" sd="1" m="1" x="113"/>
        <item t="data" h="1" sd="1" m="1" x="145"/>
        <item t="data" h="1" sd="1" m="1" x="133"/>
        <item t="data" h="1" sd="1" m="1" x="125"/>
        <item t="data" h="1" sd="1" m="1" x="127"/>
        <item t="data" h="1" sd="1" m="1" x="13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21"/>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7.xml><?xml version="1.0" encoding="utf-8"?>
<pivotTableDefinition xmlns:r="http://schemas.openxmlformats.org/officeDocument/2006/relationships" xmlns="http://schemas.openxmlformats.org/spreadsheetml/2006/main" name="PivotTable19"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37:AM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8.xml><?xml version="1.0" encoding="utf-8"?>
<pivotTableDefinition xmlns:r="http://schemas.openxmlformats.org/officeDocument/2006/relationships" xmlns="http://schemas.openxmlformats.org/spreadsheetml/2006/main" name="PivotTable20"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37:AQ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9.xml><?xml version="1.0" encoding="utf-8"?>
<pivotTableDefinition xmlns:r="http://schemas.openxmlformats.org/officeDocument/2006/relationships" xmlns="http://schemas.openxmlformats.org/spreadsheetml/2006/main" name="PivotTable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1:AL49" firstHeaderRow="1"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0.xml><?xml version="1.0" encoding="utf-8"?>
<pivotTableDefinition xmlns:r="http://schemas.openxmlformats.org/officeDocument/2006/relationships" xmlns="http://schemas.openxmlformats.org/spreadsheetml/2006/main" name="PivotTable1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1.xml><?xml version="1.0" encoding="utf-8"?>
<pivotTableDefinition xmlns:r="http://schemas.openxmlformats.org/officeDocument/2006/relationships" xmlns="http://schemas.openxmlformats.org/spreadsheetml/2006/main" name="PivotTable1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52.xml><?xml version="1.0" encoding="utf-8"?>
<pivotTableDefinition xmlns:r="http://schemas.openxmlformats.org/officeDocument/2006/relationships" xmlns="http://schemas.openxmlformats.org/spreadsheetml/2006/main" name="PivotTable5"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1:AM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3.xml><?xml version="1.0" encoding="utf-8"?>
<pivotTableDefinition xmlns:r="http://schemas.openxmlformats.org/officeDocument/2006/relationships" xmlns="http://schemas.openxmlformats.org/spreadsheetml/2006/main" name="PivotTable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1:AQ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4.xml><?xml version="1.0" encoding="utf-8"?>
<pivotTableDefinition xmlns:r="http://schemas.openxmlformats.org/officeDocument/2006/relationships" xmlns="http://schemas.openxmlformats.org/spreadsheetml/2006/main" name="PivotTable5" cacheId="20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7:AO24" firstHeaderRow="1" firstDataRow="1" firstDataCol="1"/>
  <pivotFields count="15">
    <pivotField axis="axisRow" showDropDowns="1" compact="1" outline="1" subtotalTop="1" dragToRow="1" dragToCol="1" dragToPage="1" dragToData="1" dragOff="1" showAll="0" topAutoShow="1" itemPageCount="10" sortType="manual" defaultSubtotal="1">
      <items count="45">
        <item t="data" h="1" sd="1" x="13"/>
        <item t="data" h="1" sd="1" x="14"/>
        <item t="data" h="1" sd="1" x="15"/>
        <item t="data" h="1" sd="1" x="16"/>
        <item t="data" h="1" sd="1" x="17"/>
        <item t="data" h="1" sd="1" x="1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9"/>
        <item t="data" h="1" sd="1" x="20"/>
        <item t="data" h="1" sd="1" x="21"/>
        <item t="data" h="1" sd="1" x="39"/>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5.xml><?xml version="1.0" encoding="utf-8"?>
<pivotTableDefinition xmlns:r="http://schemas.openxmlformats.org/officeDocument/2006/relationships" xmlns="http://schemas.openxmlformats.org/spreadsheetml/2006/main" name="PivotTable3"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1:AL47"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6.xml><?xml version="1.0" encoding="utf-8"?>
<pivotTableDefinition xmlns:r="http://schemas.openxmlformats.org/officeDocument/2006/relationships" xmlns="http://schemas.openxmlformats.org/spreadsheetml/2006/main" name="PivotTable4"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47:AP53"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7.xml><?xml version="1.0" encoding="utf-8"?>
<pivotTableDefinition xmlns:r="http://schemas.openxmlformats.org/officeDocument/2006/relationships" xmlns="http://schemas.openxmlformats.org/spreadsheetml/2006/main" name="PivotTable28"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5" firstHeaderRow="0"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sd="1" x="40"/>
        <item t="data" sd="1" x="41"/>
        <item t="data" sd="1" x="42"/>
        <item t="data"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4">
    <i t="data" r="0" i="0">
      <x v="40"/>
    </i>
    <i t="data" r="0" i="0">
      <x v="41"/>
    </i>
    <i t="data" r="0" i="0">
      <x v="42"/>
    </i>
    <i t="data" r="0" i="0">
      <x v="43"/>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8.xml><?xml version="1.0" encoding="utf-8"?>
<pivotTableDefinition xmlns:r="http://schemas.openxmlformats.org/officeDocument/2006/relationships" xmlns="http://schemas.openxmlformats.org/spreadsheetml/2006/main" name="PivotTable29"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O8" firstHeaderRow="1"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39"/>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QA Passed" fld="9" subtotal="sum" showDataAs="normal" baseField="0" baseItem="0"/>
  </dataFields>
  <pivotTableStyleInfo name="PivotStyleLight16" showRowHeaders="1" showColHeaders="1" showRowStripes="0" showColStripes="0" showLastColumn="1"/>
</pivotTableDefinition>
</file>

<file path=xl/pivotTables/pivotTable59.xml><?xml version="1.0" encoding="utf-8"?>
<pivotTableDefinition xmlns:r="http://schemas.openxmlformats.org/officeDocument/2006/relationships" xmlns="http://schemas.openxmlformats.org/spreadsheetml/2006/main" name="PivotTable2"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2">
    <format action="formatting" dxfId="192">
      <pivotArea type="normal" dataOnly="1" grandRow="1" outline="0" collapsedLevelsAreSubtotals="1" fieldPosition="0"/>
    </format>
    <format action="formatting" dxfId="193">
      <pivotArea type="normal" dataOnly="0" labelOnly="1" grandRow="1" outline="0" fieldPosition="0"/>
    </format>
  </formats>
  <pivotTableStyleInfo name="PivotStyleLight16" showRowHeaders="1" showColHeaders="1" showRowStripes="0" showColStripes="0" showLastColumn="1"/>
</pivotTableDefinition>
</file>

<file path=xl/pivotTables/pivotTable60.xml><?xml version="1.0" encoding="utf-8"?>
<pivotTableDefinition xmlns:r="http://schemas.openxmlformats.org/officeDocument/2006/relationships" xmlns="http://schemas.openxmlformats.org/spreadsheetml/2006/main" name="PivotTable13"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1.xml><?xml version="1.0" encoding="utf-8"?>
<pivotTableDefinition xmlns:r="http://schemas.openxmlformats.org/officeDocument/2006/relationships" xmlns="http://schemas.openxmlformats.org/spreadsheetml/2006/main" name="PivotTable14"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2.xml><?xml version="1.0" encoding="utf-8"?>
<pivotTableDefinition xmlns:r="http://schemas.openxmlformats.org/officeDocument/2006/relationships" xmlns="http://schemas.openxmlformats.org/spreadsheetml/2006/main" name="PivotTable3" cacheId="20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50" firstHeaderRow="1" firstDataRow="1" firstDataCol="1"/>
  <pivotFields count="15">
    <pivotField axis="axisRow" showDropDowns="1" compact="1" outline="1" subtotalTop="1" dragToRow="1" dragToCol="1" dragToPage="1" dragToData="1" dragOff="1" showAll="0" topAutoShow="1" itemPageCount="10" sortType="manual" defaultSubtotal="1">
      <items count="42">
        <item t="data" h="1" sd="1" x="0"/>
        <item t="data" h="1" sd="1" x="14"/>
        <item t="data" h="1" sd="1" x="1"/>
        <item t="data" h="1" sd="1" x="2"/>
        <item t="data" h="1" sd="1" x="3"/>
        <item t="data" h="1" sd="1" x="4"/>
        <item t="data" h="1" sd="1" x="6"/>
        <item t="data" h="1" sd="1" x="5"/>
        <item t="data" h="1" sd="1" x="8"/>
        <item t="data" h="1" sd="1" x="7"/>
        <item t="data" h="1" sd="1" x="10"/>
        <item t="data" h="1" sd="1" x="9"/>
        <item t="data" h="1" sd="1" x="11"/>
        <item t="data" h="1" sd="1" x="12"/>
        <item t="data" h="1" sd="1" x="13"/>
        <item t="data" h="1" sd="1" x="37"/>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63.xml><?xml version="1.0" encoding="utf-8"?>
<pivotTableDefinition xmlns:r="http://schemas.openxmlformats.org/officeDocument/2006/relationships" xmlns="http://schemas.openxmlformats.org/spreadsheetml/2006/main" name="PivotTable1"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2">
    <format action="formatting" dxfId="190">
      <pivotArea type="normal" dataOnly="1" grandRow="1" outline="0" collapsedLevelsAreSubtotals="1" fieldPosition="0"/>
    </format>
    <format action="formatting" dxfId="191">
      <pivotArea type="normal" dataOnly="0" labelOnly="1" grandRow="1" outline="0" fieldPosition="0"/>
    </format>
  </formats>
  <pivotTableStyleInfo name="PivotStyleLight16" showRowHeaders="1" showColHeaders="1" showRowStripes="0" showColStripes="0" showLastColumn="1"/>
</pivotTableDefinition>
</file>

<file path=xl/pivotTables/pivotTable64.xml><?xml version="1.0" encoding="utf-8"?>
<pivotTableDefinition xmlns:r="http://schemas.openxmlformats.org/officeDocument/2006/relationships" xmlns="http://schemas.openxmlformats.org/spreadsheetml/2006/main" name="PivotTable17"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36:AL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5.xml><?xml version="1.0" encoding="utf-8"?>
<pivotTableDefinition xmlns:r="http://schemas.openxmlformats.org/officeDocument/2006/relationships" xmlns="http://schemas.openxmlformats.org/spreadsheetml/2006/main" name="PivotTable18"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36:AP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6.xml><?xml version="1.0" encoding="utf-8"?>
<pivotTableDefinition xmlns:r="http://schemas.openxmlformats.org/officeDocument/2006/relationships" xmlns="http://schemas.openxmlformats.org/spreadsheetml/2006/main" name="PivotTable6"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67.xml><?xml version="1.0" encoding="utf-8"?>
<pivotTableDefinition xmlns:r="http://schemas.openxmlformats.org/officeDocument/2006/relationships" xmlns="http://schemas.openxmlformats.org/spreadsheetml/2006/main" name="PivotTable5"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8.xml><?xml version="1.0" encoding="utf-8"?>
<pivotTableDefinition xmlns:r="http://schemas.openxmlformats.org/officeDocument/2006/relationships" xmlns="http://schemas.openxmlformats.org/spreadsheetml/2006/main" name="PivotTable1" cacheId="20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7"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9"/>
    </i>
    <i t="data" r="0" i="0">
      <x v="10"/>
    </i>
    <i t="data" r="0" i="0">
      <x v="11"/>
    </i>
    <i t="data" r="0" i="0">
      <x v="12"/>
    </i>
    <i t="data" r="0" i="0">
      <x v="13"/>
    </i>
    <i t="data" r="0" i="0">
      <x v="14"/>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9.xml><?xml version="1.0" encoding="utf-8"?>
<pivotTableDefinition xmlns:r="http://schemas.openxmlformats.org/officeDocument/2006/relationships" xmlns="http://schemas.openxmlformats.org/spreadsheetml/2006/main" name="PivotTable3" cacheId="20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0.xml><?xml version="1.0" encoding="utf-8"?>
<pivotTableDefinition xmlns:r="http://schemas.openxmlformats.org/officeDocument/2006/relationships" xmlns="http://schemas.openxmlformats.org/spreadsheetml/2006/main" name="PivotTable6" cacheId="18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3" firstHeaderRow="1" firstDataRow="1" firstDataCol="1"/>
  <pivotFields count="15">
    <pivotField axis="axisRow" showDropDowns="1" compact="1" outline="1" subtotalTop="1" dragToRow="1" dragToCol="1" dragToPage="1" dragToData="1" dragOff="1" showAll="0" topAutoShow="1" itemPageCount="10" sortType="manual" defaultSubtotal="1">
      <items count="54">
        <item t="data" h="1" sd="1" m="1" x="25"/>
        <item t="data" h="1" sd="1" m="1" x="37"/>
        <item t="data" h="1" sd="1" m="1" x="41"/>
        <item t="data" h="1" sd="1" m="1" x="31"/>
        <item t="data" h="1" sd="1" m="1" x="29"/>
        <item t="data" h="1" sd="1" m="1" x="50"/>
        <item t="data" h="1" sd="1" m="1" x="21"/>
        <item t="data" h="1" sd="1" m="1" x="43"/>
        <item t="data" h="1" sd="1" m="1" x="34"/>
        <item t="data" h="1" sd="1" m="1" x="45"/>
        <item t="data" h="1" sd="1" m="1" x="49"/>
        <item t="data" h="1" sd="1" m="1" x="39"/>
        <item t="data" h="1" sd="1" m="1" x="47"/>
        <item t="data" h="1" sd="1" m="1" x="51"/>
        <item t="data" h="1" sd="1" m="1" x="40"/>
        <item t="data" h="1" sd="1" m="1" x="32"/>
        <item t="data" h="1" sd="1" m="1" x="35"/>
        <item t="data" sd="1" m="1" x="38"/>
        <item t="data" sd="1" m="1" x="44"/>
        <item t="data" sd="1" m="1" x="20"/>
        <item t="data" sd="1" m="1" x="24"/>
        <item t="data" sd="1" m="1" x="36"/>
        <item t="data" h="1" sd="1" x="18"/>
        <item t="data" h="1" sd="1" m="1" x="27"/>
        <item t="data" h="1" sd="1" m="1" x="42"/>
        <item t="data" h="1" sd="1" m="1" x="52"/>
        <item t="data" h="1" sd="1" m="1" x="22"/>
        <item t="data" h="1" sd="1" m="1" x="46"/>
        <item t="data" h="1" sd="1" m="1" x="28"/>
        <item t="data" h="1" sd="1" m="1" x="23"/>
        <item t="data" sd="1" m="1" x="26"/>
        <item t="data" sd="1" m="1" x="30"/>
        <item t="data" h="1" sd="1" m="1" x="33"/>
        <item t="data" h="1" sd="1" m="1" x="4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71.xml><?xml version="1.0" encoding="utf-8"?>
<pivotTableDefinition xmlns:r="http://schemas.openxmlformats.org/officeDocument/2006/relationships" xmlns="http://schemas.openxmlformats.org/spreadsheetml/2006/main" name="PivotTable10" cacheId="18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3" firstHeaderRow="0" firstDataRow="1" firstDataCol="1"/>
  <pivotFields count="14">
    <pivotField axis="axisRow" showDropDowns="1" compact="1" outline="1" subtotalTop="1" dragToRow="1" dragToCol="1" dragToPage="1" dragToData="1" dragOff="1" showAll="0" topAutoShow="1" itemPageCount="10" sortType="manual" defaultSubtotal="1">
      <items count="55">
        <item t="data" h="1" sd="1" m="1" x="25"/>
        <item t="data" h="1" sd="1" m="1" x="50"/>
        <item t="data" h="1" sd="1" m="1" x="40"/>
        <item t="data" h="1" sd="1" m="1" x="48"/>
        <item t="data" h="1" sd="1" m="1" x="52"/>
        <item t="data" h="1" sd="1" m="1" x="41"/>
        <item t="data" h="1" sd="1" m="1" x="32"/>
        <item t="data" h="1" sd="1" m="1" x="36"/>
        <item t="data" h="1" sd="1" x="18"/>
        <item t="data" sd="1" m="1" x="39"/>
        <item t="data" sd="1" m="1" x="45"/>
        <item t="data" sd="1" m="1" x="20"/>
        <item t="data" sd="1" m="1" x="24"/>
        <item t="data" sd="1" m="1" x="37"/>
        <item t="data" h="1" sd="1" m="1" x="33"/>
        <item t="data" h="1" sd="1" m="1" x="31"/>
        <item t="data" h="1" sd="1" m="1" x="29"/>
        <item t="data" h="1" sd="1" m="1" x="51"/>
        <item t="data" h="1" sd="1" m="1" x="21"/>
        <item t="data" h="1" sd="1" m="1" x="44"/>
        <item t="data" h="1" sd="1" m="1" x="35"/>
        <item t="data" h="1" sd="1" m="1" x="38"/>
        <item t="data" h="1" sd="1" m="1" x="42"/>
        <item t="data" h="1" sd="1" m="1" x="46"/>
        <item t="data" h="1" sd="1" m="1" x="27"/>
        <item t="data" h="1" sd="1" m="1" x="43"/>
        <item t="data" h="1" sd="1" m="1" x="53"/>
        <item t="data" h="1" sd="1" m="1" x="22"/>
        <item t="data" h="1" sd="1" m="1" x="47"/>
        <item t="data" h="1" sd="1" m="1" x="28"/>
        <item t="data" h="1" sd="1" m="1" x="23"/>
        <item t="data" sd="1" m="1" x="26"/>
        <item t="data" sd="1" m="1" x="30"/>
        <item t="data" h="1" sd="1" m="1" x="34"/>
        <item t="data" h="1" sd="1" m="1" x="49"/>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2.xml><?xml version="1.0" encoding="utf-8"?>
<pivotTableDefinition xmlns:r="http://schemas.openxmlformats.org/officeDocument/2006/relationships" xmlns="http://schemas.openxmlformats.org/spreadsheetml/2006/main" name="PivotTable9" cacheId="2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3.xml><?xml version="1.0" encoding="utf-8"?>
<pivotTableDefinition xmlns:r="http://schemas.openxmlformats.org/officeDocument/2006/relationships" xmlns="http://schemas.openxmlformats.org/spreadsheetml/2006/main" name="PivotTable1"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1:AK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n=" "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74.xml><?xml version="1.0" encoding="utf-8"?>
<pivotTableDefinition xmlns:r="http://schemas.openxmlformats.org/officeDocument/2006/relationships" xmlns="http://schemas.openxmlformats.org/spreadsheetml/2006/main" name="PivotTable2"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1:AO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5.xml><?xml version="1.0" encoding="utf-8"?>
<pivotTableDefinition xmlns:r="http://schemas.openxmlformats.org/officeDocument/2006/relationships" xmlns="http://schemas.openxmlformats.org/spreadsheetml/2006/main" name="PivotTable15"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37:AK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6.xml><?xml version="1.0" encoding="utf-8"?>
<pivotTableDefinition xmlns:r="http://schemas.openxmlformats.org/officeDocument/2006/relationships" xmlns="http://schemas.openxmlformats.org/spreadsheetml/2006/main" name="PivotTable16"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37:AO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7.xml><?xml version="1.0" encoding="utf-8"?>
<pivotTableDefinition xmlns:r="http://schemas.openxmlformats.org/officeDocument/2006/relationships" xmlns="http://schemas.openxmlformats.org/spreadsheetml/2006/main" name="PivotTable13"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1:AN8"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6">
    <format action="formatting" dxfId="168">
      <pivotArea type="all" dataOnly="0" outline="0" fieldPosition="0"/>
    </format>
    <format action="formatting" dxfId="169">
      <pivotArea type="normal" dataOnly="1" outline="0" collapsedLevelsAreSubtotals="1" fieldPosition="0"/>
    </format>
    <format action="formatting" dxfId="170">
      <pivotArea field="0" type="button" dataOnly="0" labelOnly="1" outline="0" axis="axisRow" fieldPosition="0"/>
    </format>
    <format action="formatting" dxfId="171">
      <pivotArea type="normal" dataOnly="0" labelOnly="1" outline="1" fieldPosition="0">
        <references count="1">
          <reference field="0"/>
        </references>
      </pivotArea>
    </format>
    <format action="formatting" dxfId="172">
      <pivotArea type="normal" dataOnly="0" labelOnly="1" grandRow="1" outline="0" fieldPosition="0"/>
    </format>
    <format action="formatting" dxfId="1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8.xml><?xml version="1.0" encoding="utf-8"?>
<pivotTableDefinition xmlns:r="http://schemas.openxmlformats.org/officeDocument/2006/relationships" xmlns="http://schemas.openxmlformats.org/spreadsheetml/2006/main" name="PivotTable2"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1:AS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7">
    <format action="formatting" dxfId="174">
      <pivotArea type="normal" dataOnly="1" outline="0" collapsedLevelsAreSubtotals="1" fieldPosition="0"/>
    </format>
    <format action="formatting" dxfId="175">
      <pivotArea type="all" dataOnly="0" outline="0" fieldPosition="0"/>
    </format>
    <format action="formatting" dxfId="176">
      <pivotArea type="normal" dataOnly="1" outline="0" collapsedLevelsAreSubtotals="1" fieldPosition="0"/>
    </format>
    <format action="formatting" dxfId="177">
      <pivotArea field="0" type="button" dataOnly="0" labelOnly="1" outline="0" axis="axisRow" fieldPosition="0"/>
    </format>
    <format action="formatting" dxfId="178">
      <pivotArea type="normal" dataOnly="0" labelOnly="1" outline="1" fieldPosition="0">
        <references count="1">
          <reference field="0"/>
        </references>
      </pivotArea>
    </format>
    <format action="formatting" dxfId="179">
      <pivotArea type="normal" dataOnly="0" labelOnly="1" grandRow="1" outline="0" fieldPosition="0"/>
    </format>
    <format action="formatting" dxfId="18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9.xml><?xml version="1.0" encoding="utf-8"?>
<pivotTableDefinition xmlns:r="http://schemas.openxmlformats.org/officeDocument/2006/relationships" xmlns="http://schemas.openxmlformats.org/spreadsheetml/2006/main" name="PivotTable3"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21:AS2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9">
    <format action="formatting" dxfId="181">
      <pivotArea type="normal" dataOnly="1" outline="1" collapsedLevelsAreSubtotals="1" fieldPosition="0">
        <references count="2">
          <reference field="4294967294" selected="0">
            <x v="0"/>
          </reference>
          <reference field="0">
            <x v="18"/>
          </reference>
        </references>
      </pivotArea>
    </format>
    <format action="formatting" dxfId="182">
      <pivotArea type="normal" dataOnly="1" outline="1" collapsedLevelsAreSubtotals="1" fieldPosition="0">
        <references count="1">
          <reference field="0">
            <x v="19"/>
            <x v="20"/>
            <x v="21"/>
            <x v="22"/>
            <x v="23"/>
            <x v="24"/>
          </reference>
        </references>
      </pivotArea>
    </format>
    <format action="formatting" dxfId="183">
      <pivotArea type="normal" dataOnly="1" outline="1" collapsedLevelsAreSubtotals="1" fieldPosition="0">
        <references count="2">
          <reference field="4294967294" selected="0">
            <x v="1"/>
          </reference>
          <reference field="0">
            <x v="18"/>
          </reference>
        </references>
      </pivotArea>
    </format>
    <format action="formatting" dxfId="184">
      <pivotArea type="all" dataOnly="0" outline="0" fieldPosition="0"/>
    </format>
    <format action="formatting" dxfId="185">
      <pivotArea type="normal" dataOnly="1" outline="0" collapsedLevelsAreSubtotals="1" fieldPosition="0"/>
    </format>
    <format action="formatting" dxfId="186">
      <pivotArea field="0" type="button" dataOnly="0" labelOnly="1" outline="0" axis="axisRow" fieldPosition="0"/>
    </format>
    <format action="formatting" dxfId="187">
      <pivotArea type="normal" dataOnly="0" labelOnly="1" outline="1" fieldPosition="0">
        <references count="1">
          <reference field="0"/>
        </references>
      </pivotArea>
    </format>
    <format action="formatting" dxfId="188">
      <pivotArea type="normal" dataOnly="0" labelOnly="1" grandRow="1" outline="0" fieldPosition="0"/>
    </format>
    <format action="formatting" dxfId="1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0.xml><?xml version="1.0" encoding="utf-8"?>
<pivotTableDefinition xmlns:r="http://schemas.openxmlformats.org/officeDocument/2006/relationships" xmlns="http://schemas.openxmlformats.org/spreadsheetml/2006/main" name="PivotTable12"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1:AJ7"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161"/>
    </i>
    <i t="data" r="0" i="0">
      <x v="162"/>
    </i>
    <i t="data" r="0" i="0">
      <x v="163"/>
    </i>
    <i t="data" r="0" i="0">
      <x v="164"/>
    </i>
    <i t="data" r="0" i="0">
      <x v="165"/>
    </i>
    <i t="data" r="0" i="0">
      <x v="166"/>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7">
    <format action="formatting" dxfId="153">
      <pivotArea type="normal" dataOnly="1" outline="0" collapsedLevelsAreSubtotals="1" fieldPosition="0"/>
    </format>
    <format action="formatting" dxfId="154">
      <pivotArea type="normal" dataOnly="0" labelOnly="1" outline="0" fieldPosition="0">
        <references count="1">
          <reference field="4294967294">
            <x v="0"/>
            <x v="1"/>
          </reference>
        </references>
      </pivotArea>
    </format>
    <format action="formatting" dxfId="155">
      <pivotArea type="all" dataOnly="0" outline="0" fieldPosition="0"/>
    </format>
    <format action="formatting" dxfId="156">
      <pivotArea type="normal" dataOnly="1" outline="0" collapsedLevelsAreSubtotals="1" fieldPosition="0"/>
    </format>
    <format action="formatting" dxfId="157">
      <pivotArea field="0" type="button" dataOnly="0" labelOnly="1" outline="0" axis="axisRow" fieldPosition="0"/>
    </format>
    <format action="formatting" dxfId="158">
      <pivotArea type="normal" dataOnly="0" labelOnly="1" outline="1" fieldPosition="0">
        <references count="1">
          <reference field="0"/>
        </references>
      </pivotArea>
    </format>
    <format action="formatting" dxfId="15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1.xml><?xml version="1.0" encoding="utf-8"?>
<pivotTableDefinition xmlns:r="http://schemas.openxmlformats.org/officeDocument/2006/relationships" xmlns="http://schemas.openxmlformats.org/spreadsheetml/2006/main" name="PivotTable4" cacheId="2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I29" firstHeaderRow="1" firstDataRow="1" firstDataCol="1"/>
  <pivotFields count="15">
    <pivotField axis="axisRow" showDropDowns="1" compact="1" outline="1" subtotalTop="1" dragToRow="1" dragToCol="1" dragToPage="1" dragToData="1" dragOff="1" showAll="0" topAutoShow="1" itemPageCount="10" sortType="manual" defaultSubtotal="1">
      <items count="168">
        <item t="data" h="1" sd="1" m="1" x="123"/>
        <item t="data" h="1" sd="1" m="1" x="146"/>
        <item t="data" h="1" sd="1" m="1" x="156"/>
        <item t="data" h="1" sd="1" m="1" x="137"/>
        <item t="data" h="1" sd="1" m="1" x="94"/>
        <item t="data" h="1" sd="1" m="1" x="90"/>
        <item t="data" h="1" sd="1" m="1" x="93"/>
        <item t="data" h="1" sd="1" m="1" x="111"/>
        <item t="data" h="1" sd="1" m="1" x="98"/>
        <item t="data" h="1" sd="1" m="1" x="155"/>
        <item t="data" h="1" sd="1" m="1" x="148"/>
        <item t="data" h="1" sd="1" m="1" x="129"/>
        <item t="data" h="1" sd="1" m="1" x="112"/>
        <item t="data" h="1" sd="1" m="1" x="150"/>
        <item t="data" h="1" sd="1" m="1" x="161"/>
        <item t="data" h="1" sd="1" m="1" x="157"/>
        <item t="data" h="1" sd="1" m="1" x="89"/>
        <item t="data" h="1" sd="1" m="1" x="105"/>
        <item t="data" h="1" sd="1" m="1" x="124"/>
        <item t="data" h="1" sd="1" m="1" x="95"/>
        <item t="data" h="1" sd="1" m="1" x="110"/>
        <item t="data" h="1" sd="1" m="1" x="153"/>
        <item t="data" h="1" sd="1" m="1" x="133"/>
        <item t="data" h="1" sd="1" m="1" x="130"/>
        <item t="data" h="1" sd="1" x="16"/>
        <item t="data" h="1" sd="1" m="1" x="134"/>
        <item t="data" h="1" sd="1" m="1" x="131"/>
        <item t="data" h="1" sd="1" m="1" x="115"/>
        <item t="data" h="1" sd="1" m="1" x="109"/>
        <item t="data" h="1" sd="1" m="1" x="116"/>
        <item t="data" h="1" sd="1" m="1" x="106"/>
        <item t="data" h="1" sd="1" m="1" x="163"/>
        <item t="data" h="1" sd="1" m="1" x="144"/>
        <item t="data" h="1" sd="1" m="1" x="160"/>
        <item t="data" h="1" sd="1" m="1" x="128"/>
        <item t="data" h="1" sd="1" m="1" x="138"/>
        <item t="data" h="1" sd="1" m="1" x="154"/>
        <item t="data" h="1" sd="1" m="1" x="120"/>
        <item t="data" h="1" sd="1" m="1" x="114"/>
        <item t="data" h="1" sd="1" m="1" x="119"/>
        <item t="data" h="1" sd="1" m="1" x="107"/>
        <item t="data" h="1" sd="1" m="1" x="97"/>
        <item t="data" h="1" sd="1" m="1" x="142"/>
        <item t="data" h="1" sd="1" m="1" x="108"/>
        <item t="data" h="1" sd="1" m="1" x="101"/>
        <item t="data" h="1" sd="1" m="1" x="141"/>
        <item t="data" h="1" sd="1" m="1" x="139"/>
        <item t="data" h="1" sd="1" m="1" x="92"/>
        <item t="data" h="1" sd="1" m="1" x="96"/>
        <item t="data" h="1" sd="1" m="1" x="121"/>
        <item t="data" h="1" sd="1" m="1" x="147"/>
        <item t="data" h="1" sd="1" m="1" x="151"/>
        <item t="data" h="1" sd="1" m="1" x="127"/>
        <item t="data" h="1" sd="1" m="1" x="164"/>
        <item t="data" h="1" sd="1" m="1" x="166"/>
        <item t="data" h="1" sd="1" m="1" x="125"/>
        <item t="data" h="1" sd="1" m="1" x="104"/>
        <item t="data" h="1" sd="1" m="1" x="162"/>
        <item t="data" h="1" sd="1" m="1" x="143"/>
        <item t="data" h="1" sd="1" m="1" x="91"/>
        <item t="data" h="1" sd="1" m="1" x="152"/>
        <item t="data" h="1" sd="1" m="1" x="158"/>
        <item t="data" h="1" sd="1" m="1" x="102"/>
        <item t="data" h="1" sd="1" m="1" x="140"/>
        <item t="data" h="1" sd="1" m="1" x="132"/>
        <item t="data" h="1" sd="1" m="1" x="118"/>
        <item t="data" h="1" sd="1" m="1" x="126"/>
        <item t="data" h="1" sd="1" m="1" x="117"/>
        <item t="data" h="1" sd="1" m="1" x="149"/>
        <item t="data" h="1" sd="1" m="1" x="99"/>
        <item t="data" h="1" sd="1" m="1" x="122"/>
        <item t="data" h="1" sd="1" m="1" x="103"/>
        <item t="data" h="1" sd="1" m="1" x="145"/>
        <item t="data" h="1" sd="1" m="1" x="100"/>
        <item t="data" h="1" sd="1" m="1" x="113"/>
        <item t="data" h="1" sd="1" m="1" x="159"/>
        <item t="data" h="1" sd="1" m="1" x="165"/>
        <item t="data" h="1" sd="1" m="1" x="136"/>
        <item t="data" h="1" sd="1" m="1" x="135"/>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Items count="1">
    <i t="data" r="0" i="0"/>
  </colItems>
  <dataFields count="1">
    <dataField name="Sum of Planned Vs Completed ratio" fld="14" subtotal="sum" showDataAs="normal" baseField="0" baseItem="0"/>
  </dataFields>
  <formats count="8">
    <format action="formatting" dxfId="160">
      <pivotArea type="normal" dataOnly="1" outline="0" collapsedLevelsAreSubtotals="1" fieldPosition="0"/>
    </format>
    <format action="formatting" dxfId="161">
      <pivotArea type="normal" dataOnly="0" labelOnly="1" outline="0" axis="axisValues" fieldPosition="0"/>
    </format>
    <format action="formatting" dxfId="162">
      <pivotArea type="all" dataOnly="0" outline="0" fieldPosition="0"/>
    </format>
    <format action="formatting" dxfId="163">
      <pivotArea type="normal" dataOnly="1" outline="0" collapsedLevelsAreSubtotals="1" fieldPosition="0"/>
    </format>
    <format action="formatting" dxfId="164">
      <pivotArea field="0" type="button" dataOnly="0" labelOnly="1" outline="0" axis="axisRow" fieldPosition="0"/>
    </format>
    <format action="formatting" dxfId="165">
      <pivotArea type="normal" dataOnly="0" labelOnly="1" outline="1" fieldPosition="0">
        <references count="1">
          <reference field="0"/>
        </references>
      </pivotArea>
    </format>
    <format action="formatting" dxfId="166">
      <pivotArea type="normal" dataOnly="0" labelOnly="1" grandRow="1" outline="0" fieldPosition="0"/>
    </format>
    <format action="formatting" dxfId="167">
      <pivotArea type="normal" dataOnly="0" labelOnly="1" outline="0" axis="axisValues" fieldPosition="0"/>
    </format>
  </formats>
  <pivotTableStyleInfo name="PivotStyleLight16" showRowHeaders="1" showColHeaders="1" showRowStripes="0" showColStripes="0" showLastColumn="1"/>
</pivotTableDefinition>
</file>

<file path=xl/pivotTables/pivotTable82.xml><?xml version="1.0" encoding="utf-8"?>
<pivotTableDefinition xmlns:r="http://schemas.openxmlformats.org/officeDocument/2006/relationships" xmlns="http://schemas.openxmlformats.org/spreadsheetml/2006/main" name="PivotTable20"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83.xml><?xml version="1.0" encoding="utf-8"?>
<pivotTableDefinition xmlns:r="http://schemas.openxmlformats.org/officeDocument/2006/relationships" xmlns="http://schemas.openxmlformats.org/spreadsheetml/2006/main" name="PivotTable21"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8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85.xml><?xml version="1.0" encoding="utf-8"?>
<pivotTableDefinition xmlns:r="http://schemas.openxmlformats.org/officeDocument/2006/relationships" xmlns="http://schemas.openxmlformats.org/spreadsheetml/2006/main" name="PivotTable8"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86.xml><?xml version="1.0" encoding="utf-8"?>
<pivotTableDefinition xmlns:r="http://schemas.openxmlformats.org/officeDocument/2006/relationships" xmlns="http://schemas.openxmlformats.org/spreadsheetml/2006/main" name="PivotTable7"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87.xml><?xml version="1.0" encoding="utf-8"?>
<pivotTableDefinition xmlns:r="http://schemas.openxmlformats.org/officeDocument/2006/relationships" xmlns="http://schemas.openxmlformats.org/spreadsheetml/2006/main" name="PivotTable5" cacheId="2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88.xml><?xml version="1.0" encoding="utf-8"?>
<pivotTableDefinition xmlns:r="http://schemas.openxmlformats.org/officeDocument/2006/relationships" xmlns="http://schemas.openxmlformats.org/spreadsheetml/2006/main" name="PivotTable2"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Items count="1">
    <i t="data" r="0" i="0"/>
  </colItems>
  <dataFields count="1">
    <dataField name="Sum of Planned Vs Completed ratio" fld="14" subtotal="sum" showDataAs="normal" baseField="0" baseItem="0"/>
  </dataFields>
  <formats count="14">
    <format action="formatting" dxfId="117">
      <pivotArea type="all" dataOnly="0" outline="0" fieldPosition="0"/>
    </format>
    <format action="formatting" dxfId="118">
      <pivotArea type="normal" dataOnly="1" outline="0" collapsedLevelsAreSubtotals="1" fieldPosition="0"/>
    </format>
    <format action="formatting" dxfId="119">
      <pivotArea field="0" type="button" dataOnly="0" labelOnly="1" outline="0" axis="axisRow" fieldPosition="0"/>
    </format>
    <format action="formatting" dxfId="120">
      <pivotArea type="normal" dataOnly="0" labelOnly="1" outline="1" fieldPosition="0">
        <references count="1">
          <reference field="0"/>
        </references>
      </pivotArea>
    </format>
    <format action="formatting" dxfId="121">
      <pivotArea type="normal" dataOnly="0" labelOnly="1" grandRow="1" outline="0" fieldPosition="0"/>
    </format>
    <format action="formatting" dxfId="122">
      <pivotArea type="normal" dataOnly="0" labelOnly="1" outline="0" axis="axisValues" fieldPosition="0"/>
    </format>
    <format action="formatting" dxfId="123">
      <pivotArea type="all" dataOnly="0" outline="0" fieldPosition="0"/>
    </format>
    <format action="formatting" dxfId="124">
      <pivotArea type="normal" dataOnly="1" outline="0" collapsedLevelsAreSubtotals="1" fieldPosition="0"/>
    </format>
    <format action="formatting" dxfId="125">
      <pivotArea field="0" type="button" dataOnly="0" labelOnly="1" outline="0" axis="axisRow" fieldPosition="0"/>
    </format>
    <format action="formatting" dxfId="126">
      <pivotArea type="normal" dataOnly="0" labelOnly="1" outline="1" fieldPosition="0">
        <references count="1">
          <reference field="0"/>
        </references>
      </pivotArea>
    </format>
    <format action="formatting" dxfId="127">
      <pivotArea type="normal" dataOnly="0" labelOnly="1" grandRow="1" outline="0" fieldPosition="0"/>
    </format>
    <format action="formatting" dxfId="128">
      <pivotArea type="normal" dataOnly="0" labelOnly="1" outline="0" axis="axisValues" fieldPosition="0"/>
    </format>
    <format action="formatting" dxfId="129">
      <pivotArea type="normal" dataOnly="1" outline="1" collapsedLevelsAreSubtotals="1" fieldPosition="0">
        <references count="1">
          <reference field="0"/>
        </references>
      </pivotArea>
    </format>
    <format action="formatting" dxfId="130">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89.xml><?xml version="1.0" encoding="utf-8"?>
<pivotTableDefinition xmlns:r="http://schemas.openxmlformats.org/officeDocument/2006/relationships" xmlns="http://schemas.openxmlformats.org/spreadsheetml/2006/main" name="PivotTable4"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131">
      <pivotArea type="all" dataOnly="0" outline="0" fieldPosition="0"/>
    </format>
    <format action="formatting" dxfId="132">
      <pivotArea type="normal" dataOnly="1" outline="0" collapsedLevelsAreSubtotals="1" fieldPosition="0"/>
    </format>
    <format action="formatting" dxfId="133">
      <pivotArea field="0" type="button" dataOnly="0" labelOnly="1" outline="0" axis="axisRow" fieldPosition="0"/>
    </format>
    <format action="formatting" dxfId="134">
      <pivotArea type="normal" dataOnly="0" labelOnly="1" grandRow="1" outline="0" fieldPosition="0"/>
    </format>
    <format action="formatting" dxfId="135">
      <pivotArea type="normal" dataOnly="0" labelOnly="1" outline="0" fieldPosition="0">
        <references count="1">
          <reference field="4294967294">
            <x v="0"/>
            <x v="1"/>
          </reference>
        </references>
      </pivotArea>
    </format>
    <format action="formatting" dxfId="136">
      <pivotArea type="all" dataOnly="0" outline="0" fieldPosition="0"/>
    </format>
    <format action="formatting" dxfId="137">
      <pivotArea type="normal" dataOnly="1" outline="0" collapsedLevelsAreSubtotals="1" fieldPosition="0"/>
    </format>
    <format action="formatting" dxfId="138">
      <pivotArea field="0" type="button" dataOnly="0" labelOnly="1" outline="0" axis="axisRow" fieldPosition="0"/>
    </format>
    <format action="formatting" dxfId="139">
      <pivotArea type="normal" dataOnly="0" labelOnly="1" grandRow="1" outline="0" fieldPosition="0"/>
    </format>
    <format action="formatting" dxfId="14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0.xml><?xml version="1.0" encoding="utf-8"?>
<pivotTableDefinition xmlns:r="http://schemas.openxmlformats.org/officeDocument/2006/relationships" xmlns="http://schemas.openxmlformats.org/spreadsheetml/2006/main" name="PivotTable3"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141">
      <pivotArea type="all" dataOnly="0" outline="0" fieldPosition="0"/>
    </format>
    <format action="formatting" dxfId="142">
      <pivotArea type="normal" dataOnly="1" outline="0" collapsedLevelsAreSubtotals="1" fieldPosition="0"/>
    </format>
    <format action="formatting" dxfId="143">
      <pivotArea field="0" type="button" dataOnly="0" labelOnly="1" outline="0" axis="axisRow" fieldPosition="0"/>
    </format>
    <format action="formatting" dxfId="144">
      <pivotArea type="normal" dataOnly="0" labelOnly="1" outline="1" fieldPosition="0">
        <references count="1">
          <reference field="0"/>
        </references>
      </pivotArea>
    </format>
    <format action="formatting" dxfId="145">
      <pivotArea type="normal" dataOnly="0" labelOnly="1" grandRow="1" outline="0" fieldPosition="0"/>
    </format>
    <format action="formatting" dxfId="146">
      <pivotArea type="normal" dataOnly="0" labelOnly="1" outline="0" fieldPosition="0">
        <references count="1">
          <reference field="4294967294">
            <x v="0"/>
            <x v="1"/>
          </reference>
        </references>
      </pivotArea>
    </format>
    <format action="formatting" dxfId="147">
      <pivotArea type="all" dataOnly="0" outline="0" fieldPosition="0"/>
    </format>
    <format action="formatting" dxfId="148">
      <pivotArea type="normal" dataOnly="1" outline="0" collapsedLevelsAreSubtotals="1" fieldPosition="0"/>
    </format>
    <format action="formatting" dxfId="149">
      <pivotArea field="0" type="button" dataOnly="0" labelOnly="1" outline="0" axis="axisRow" fieldPosition="0"/>
    </format>
    <format action="formatting" dxfId="150">
      <pivotArea type="normal" dataOnly="0" labelOnly="1" outline="1" fieldPosition="0">
        <references count="1">
          <reference field="0"/>
        </references>
      </pivotArea>
    </format>
    <format action="formatting" dxfId="151">
      <pivotArea type="normal" dataOnly="0" labelOnly="1" grandRow="1" outline="0" fieldPosition="0"/>
    </format>
    <format action="formatting" dxfId="152">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1.xml><?xml version="1.0" encoding="utf-8"?>
<pivotTableDefinition xmlns:r="http://schemas.openxmlformats.org/officeDocument/2006/relationships" xmlns="http://schemas.openxmlformats.org/spreadsheetml/2006/main" name="PivotTable5"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93">
      <pivotArea type="all" dataOnly="0" outline="0" fieldPosition="0"/>
    </format>
    <format action="formatting" dxfId="94">
      <pivotArea type="normal" dataOnly="1" outline="0" collapsedLevelsAreSubtotals="1" fieldPosition="0"/>
    </format>
    <format action="formatting" dxfId="95">
      <pivotArea field="0" type="button" dataOnly="0" labelOnly="1" outline="0" axis="axisRow" fieldPosition="0"/>
    </format>
    <format action="formatting" dxfId="96">
      <pivotArea type="normal" dataOnly="0" labelOnly="1" outline="1" fieldPosition="0">
        <references count="1">
          <reference field="0"/>
        </references>
      </pivotArea>
    </format>
    <format action="formatting" dxfId="97">
      <pivotArea type="normal" dataOnly="0" labelOnly="1" grandRow="1" outline="0" fieldPosition="0"/>
    </format>
    <format action="formatting" dxfId="98">
      <pivotArea type="normal" dataOnly="0" labelOnly="1" outline="0" fieldPosition="0">
        <references count="1">
          <reference field="4294967294">
            <x v="0"/>
            <x v="1"/>
          </reference>
        </references>
      </pivotArea>
    </format>
    <format action="formatting" dxfId="99">
      <pivotArea type="all" dataOnly="0" outline="0" fieldPosition="0"/>
    </format>
    <format action="formatting" dxfId="100">
      <pivotArea type="normal" dataOnly="1" outline="0" collapsedLevelsAreSubtotals="1" fieldPosition="0"/>
    </format>
    <format action="formatting" dxfId="101">
      <pivotArea field="0" type="button" dataOnly="0" labelOnly="1" outline="0" axis="axisRow" fieldPosition="0"/>
    </format>
    <format action="formatting" dxfId="102">
      <pivotArea type="normal" dataOnly="0" labelOnly="1" outline="1" fieldPosition="0">
        <references count="1">
          <reference field="0"/>
        </references>
      </pivotArea>
    </format>
    <format action="formatting" dxfId="103">
      <pivotArea type="normal" dataOnly="0" labelOnly="1" grandRow="1" outline="0" fieldPosition="0"/>
    </format>
    <format action="formatting" dxfId="1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2.xml><?xml version="1.0" encoding="utf-8"?>
<pivotTableDefinition xmlns:r="http://schemas.openxmlformats.org/officeDocument/2006/relationships" xmlns="http://schemas.openxmlformats.org/spreadsheetml/2006/main" name="PivotTable1"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105">
      <pivotArea type="all" dataOnly="0" outline="0" fieldPosition="0"/>
    </format>
    <format action="formatting" dxfId="106">
      <pivotArea type="normal" dataOnly="1" outline="0" collapsedLevelsAreSubtotals="1" fieldPosition="0"/>
    </format>
    <format action="formatting" dxfId="107">
      <pivotArea field="0" type="button" dataOnly="0" labelOnly="1" outline="0" axis="axisRow" fieldPosition="0"/>
    </format>
    <format action="formatting" dxfId="108">
      <pivotArea type="normal" dataOnly="0" labelOnly="1" outline="1" fieldPosition="0">
        <references count="1">
          <reference field="0"/>
        </references>
      </pivotArea>
    </format>
    <format action="formatting" dxfId="109">
      <pivotArea type="normal" dataOnly="0" labelOnly="1" grandRow="1" outline="0" fieldPosition="0"/>
    </format>
    <format action="formatting" dxfId="110">
      <pivotArea type="normal" dataOnly="0" labelOnly="1" outline="0" fieldPosition="0">
        <references count="1">
          <reference field="4294967294">
            <x v="0"/>
            <x v="1"/>
          </reference>
        </references>
      </pivotArea>
    </format>
    <format action="formatting" dxfId="111">
      <pivotArea type="all" dataOnly="0" outline="0" fieldPosition="0"/>
    </format>
    <format action="formatting" dxfId="112">
      <pivotArea type="normal" dataOnly="1" outline="0" collapsedLevelsAreSubtotals="1" fieldPosition="0"/>
    </format>
    <format action="formatting" dxfId="113">
      <pivotArea field="0" type="button" dataOnly="0" labelOnly="1" outline="0" axis="axisRow" fieldPosition="0"/>
    </format>
    <format action="formatting" dxfId="114">
      <pivotArea type="normal" dataOnly="0" labelOnly="1" outline="1" fieldPosition="0">
        <references count="1">
          <reference field="0"/>
        </references>
      </pivotArea>
    </format>
    <format action="formatting" dxfId="115">
      <pivotArea type="normal" dataOnly="0" labelOnly="1" grandRow="1" outline="0" fieldPosition="0"/>
    </format>
    <format action="formatting" dxfId="1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4" displayName="Table4" ref="A3:O4" headerRowCount="1" totalsRowShown="0">
  <autoFilter ref="A3:O4"/>
  <sortState ref="A4:O4">
    <sortCondition ref="N3:N4"/>
  </sortState>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2.xml><?xml version="1.0" encoding="utf-8"?>
<table xmlns="http://schemas.openxmlformats.org/spreadsheetml/2006/main" id="2" name="Table5" displayName="Table5" ref="A3:J4" headerRowCount="1" totalsRowShown="0">
  <autoFilter ref="A3:J4"/>
  <sortState ref="A4:J4">
    <sortCondition ref="E3:E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3.xml><?xml version="1.0" encoding="utf-8"?>
<table xmlns="http://schemas.openxmlformats.org/spreadsheetml/2006/main" id="3" name="Table6" displayName="Table6"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4.xml><?xml version="1.0" encoding="utf-8"?>
<table xmlns="http://schemas.openxmlformats.org/spreadsheetml/2006/main" id="4" name="Table7" displayName="Table7"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5.xml><?xml version="1.0" encoding="utf-8"?>
<table xmlns="http://schemas.openxmlformats.org/spreadsheetml/2006/main" id="5" name="Table8" displayName="Table8"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6.xml><?xml version="1.0" encoding="utf-8"?>
<table xmlns="http://schemas.openxmlformats.org/spreadsheetml/2006/main" id="6" name="Table3" displayName="Table3"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7.xml><?xml version="1.0" encoding="utf-8"?>
<table xmlns="http://schemas.openxmlformats.org/spreadsheetml/2006/main" id="7" name="Table1" displayName="Table1" ref="A1:O7" headerRowCount="1" totalsRowShown="0">
  <autoFilter ref="A1:O7"/>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8.xml><?xml version="1.0" encoding="utf-8"?>
<table xmlns="http://schemas.openxmlformats.org/spreadsheetml/2006/main" id="8" name="Table2" displayName="Table2"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 Type="http://schemas.openxmlformats.org/officeDocument/2006/relationships/pivotTable" Target="/xl/pivotTables/pivotTable1.xml" Id="rId4"/><Relationship Type="http://schemas.openxmlformats.org/officeDocument/2006/relationships/pivotTable" Target="/xl/pivotTables/pivotTable2.xml" Id="rId5"/><Relationship Type="http://schemas.openxmlformats.org/officeDocument/2006/relationships/pivotTable" Target="/xl/pivotTables/pivotTable3.xml" Id="rId6"/><Relationship Type="http://schemas.openxmlformats.org/officeDocument/2006/relationships/pivotTable" Target="/xl/pivotTables/pivotTable4.xml" Id="rId7"/><Relationship Type="http://schemas.openxmlformats.org/officeDocument/2006/relationships/pivotTable" Target="/xl/pivotTables/pivotTable5.xml" Id="rId8"/></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 Type="http://schemas.openxmlformats.org/officeDocument/2006/relationships/pivotTable" Target="/xl/pivotTables/pivotTable6.xml" Id="rId4"/><Relationship Type="http://schemas.openxmlformats.org/officeDocument/2006/relationships/pivotTable" Target="/xl/pivotTables/pivotTable7.xml" Id="rId5"/><Relationship Type="http://schemas.openxmlformats.org/officeDocument/2006/relationships/pivotTable" Target="/xl/pivotTables/pivotTable8.xml" Id="rId6"/><Relationship Type="http://schemas.openxmlformats.org/officeDocument/2006/relationships/pivotTable" Target="/xl/pivotTables/pivotTable9.xml" Id="rId7"/><Relationship Type="http://schemas.openxmlformats.org/officeDocument/2006/relationships/pivotTable" Target="/xl/pivotTables/pivotTable10.xml" Id="rId8"/></Relationships>
</file>

<file path=xl/worksheets/_rels/sheet6.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 Type="http://schemas.openxmlformats.org/officeDocument/2006/relationships/pivotTable" Target="/xl/pivotTables/pivotTable11.xml" Id="rId4"/><Relationship Type="http://schemas.openxmlformats.org/officeDocument/2006/relationships/pivotTable" Target="/xl/pivotTables/pivotTable12.xml" Id="rId5"/><Relationship Type="http://schemas.openxmlformats.org/officeDocument/2006/relationships/pivotTable" Target="/xl/pivotTables/pivotTable13.xml" Id="rId6"/><Relationship Type="http://schemas.openxmlformats.org/officeDocument/2006/relationships/pivotTable" Target="/xl/pivotTables/pivotTable14.xml" Id="rId7"/><Relationship Type="http://schemas.openxmlformats.org/officeDocument/2006/relationships/pivotTable" Target="/xl/pivotTables/pivotTable15.xml" Id="rId8"/></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4.xml" Id="comments"/><Relationship Type="http://schemas.openxmlformats.org/officeDocument/2006/relationships/vmlDrawing" Target="/xl/drawings/commentsDrawing4.vml" Id="anysvml"/><Relationship Type="http://schemas.openxmlformats.org/officeDocument/2006/relationships/pivotTable" Target="/xl/pivotTables/pivotTable16.xml" Id="rId4"/><Relationship Type="http://schemas.openxmlformats.org/officeDocument/2006/relationships/pivotTable" Target="/xl/pivotTables/pivotTable17.xml" Id="rId5"/><Relationship Type="http://schemas.openxmlformats.org/officeDocument/2006/relationships/pivotTable" Target="/xl/pivotTables/pivotTable18.xml" Id="rId6"/><Relationship Type="http://schemas.openxmlformats.org/officeDocument/2006/relationships/pivotTable" Target="/xl/pivotTables/pivotTable19.xml" Id="rId7"/><Relationship Type="http://schemas.openxmlformats.org/officeDocument/2006/relationships/pivotTable" Target="/xl/pivotTables/pivotTable20.xml" Id="rId8"/></Relationships>
</file>

<file path=xl/worksheets/_rels/sheet10.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5.xml" Id="comments"/><Relationship Type="http://schemas.openxmlformats.org/officeDocument/2006/relationships/vmlDrawing" Target="/xl/drawings/commentsDrawing5.vml" Id="anysvml"/><Relationship Type="http://schemas.openxmlformats.org/officeDocument/2006/relationships/pivotTable" Target="/xl/pivotTables/pivotTable21.xml" Id="rId4"/><Relationship Type="http://schemas.openxmlformats.org/officeDocument/2006/relationships/pivotTable" Target="/xl/pivotTables/pivotTable22.xml" Id="rId5"/><Relationship Type="http://schemas.openxmlformats.org/officeDocument/2006/relationships/pivotTable" Target="/xl/pivotTables/pivotTable23.xml" Id="rId6"/><Relationship Type="http://schemas.openxmlformats.org/officeDocument/2006/relationships/pivotTable" Target="/xl/pivotTables/pivotTable24.xml" Id="rId7"/><Relationship Type="http://schemas.openxmlformats.org/officeDocument/2006/relationships/pivotTable" Target="/xl/pivotTables/pivotTable25.xml" Id="rId8"/><Relationship Type="http://schemas.openxmlformats.org/officeDocument/2006/relationships/pivotTable" Target="/xl/pivotTables/pivotTable26.xml" Id="rId9"/></Relationships>
</file>

<file path=xl/worksheets/_rels/sheet11.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6.xml" Id="comments"/><Relationship Type="http://schemas.openxmlformats.org/officeDocument/2006/relationships/vmlDrawing" Target="/xl/drawings/commentsDrawing6.vml" Id="anysvml"/><Relationship Type="http://schemas.openxmlformats.org/officeDocument/2006/relationships/pivotTable" Target="/xl/pivotTables/pivotTable27.xml" Id="rId4"/><Relationship Type="http://schemas.openxmlformats.org/officeDocument/2006/relationships/pivotTable" Target="/xl/pivotTables/pivotTable28.xml" Id="rId5"/><Relationship Type="http://schemas.openxmlformats.org/officeDocument/2006/relationships/pivotTable" Target="/xl/pivotTables/pivotTable29.xml" Id="rId6"/><Relationship Type="http://schemas.openxmlformats.org/officeDocument/2006/relationships/pivotTable" Target="/xl/pivotTables/pivotTable30.xml" Id="rId7"/><Relationship Type="http://schemas.openxmlformats.org/officeDocument/2006/relationships/pivotTable" Target="/xl/pivotTables/pivotTable31.xml" Id="rId8"/><Relationship Type="http://schemas.openxmlformats.org/officeDocument/2006/relationships/pivotTable" Target="/xl/pivotTables/pivotTable32.xml" Id="rId9"/></Relationships>
</file>

<file path=xl/worksheets/_rels/sheet12.xml.rels><Relationships xmlns="http://schemas.openxmlformats.org/package/2006/relationships"><Relationship Type="http://schemas.openxmlformats.org/officeDocument/2006/relationships/table" Target="/xl/tables/table6.xml" Id="rId1"/></Relationships>
</file>

<file path=xl/worksheets/_rels/sheet13.xml.rels><Relationships xmlns="http://schemas.openxmlformats.org/package/2006/relationships"><Relationship Type="http://schemas.openxmlformats.org/officeDocument/2006/relationships/drawing" Target="/xl/drawings/drawing7.xml" Id="rId1"/><Relationship Type="http://schemas.openxmlformats.org/officeDocument/2006/relationships/comments" Target="/xl/comments/comment7.xml" Id="comments"/><Relationship Type="http://schemas.openxmlformats.org/officeDocument/2006/relationships/vmlDrawing" Target="/xl/drawings/commentsDrawing7.vml" Id="anysvml"/><Relationship Type="http://schemas.openxmlformats.org/officeDocument/2006/relationships/pivotTable" Target="/xl/pivotTables/pivotTable33.xml" Id="rId4"/><Relationship Type="http://schemas.openxmlformats.org/officeDocument/2006/relationships/pivotTable" Target="/xl/pivotTables/pivotTable34.xml" Id="rId5"/><Relationship Type="http://schemas.openxmlformats.org/officeDocument/2006/relationships/pivotTable" Target="/xl/pivotTables/pivotTable35.xml" Id="rId6"/><Relationship Type="http://schemas.openxmlformats.org/officeDocument/2006/relationships/pivotTable" Target="/xl/pivotTables/pivotTable36.xml" Id="rId7"/><Relationship Type="http://schemas.openxmlformats.org/officeDocument/2006/relationships/pivotTable" Target="/xl/pivotTables/pivotTable37.xml" Id="rId8"/></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5.xml.rels><Relationships xmlns="http://schemas.openxmlformats.org/package/2006/relationships"><Relationship Type="http://schemas.openxmlformats.org/officeDocument/2006/relationships/drawing" Target="/xl/drawings/drawing8.xml" Id="rId1"/><Relationship Type="http://schemas.openxmlformats.org/officeDocument/2006/relationships/comments" Target="/xl/comments/comment8.xml" Id="comments"/><Relationship Type="http://schemas.openxmlformats.org/officeDocument/2006/relationships/vmlDrawing" Target="/xl/drawings/commentsDrawing8.vml" Id="anysvml"/><Relationship Type="http://schemas.openxmlformats.org/officeDocument/2006/relationships/pivotTable" Target="/xl/pivotTables/pivotTable38.xml" Id="rId4"/><Relationship Type="http://schemas.openxmlformats.org/officeDocument/2006/relationships/pivotTable" Target="/xl/pivotTables/pivotTable39.xml" Id="rId5"/><Relationship Type="http://schemas.openxmlformats.org/officeDocument/2006/relationships/pivotTable" Target="/xl/pivotTables/pivotTable40.xml" Id="rId6"/><Relationship Type="http://schemas.openxmlformats.org/officeDocument/2006/relationships/pivotTable" Target="/xl/pivotTables/pivotTable41.xml" Id="rId7"/><Relationship Type="http://schemas.openxmlformats.org/officeDocument/2006/relationships/pivotTable" Target="/xl/pivotTables/pivotTable42.xml" Id="rId8"/><Relationship Type="http://schemas.openxmlformats.org/officeDocument/2006/relationships/pivotTable" Target="/xl/pivotTables/pivotTable43.xml" Id="rId9"/></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_rels/sheet17.xml.rels><Relationships xmlns="http://schemas.openxmlformats.org/package/2006/relationships"><Relationship Type="http://schemas.openxmlformats.org/officeDocument/2006/relationships/drawing" Target="/xl/drawings/drawing9.xml" Id="rId1"/><Relationship Type="http://schemas.openxmlformats.org/officeDocument/2006/relationships/comments" Target="/xl/comments/comment9.xml" Id="comments"/><Relationship Type="http://schemas.openxmlformats.org/officeDocument/2006/relationships/vmlDrawing" Target="/xl/drawings/commentsDrawing9.vml" Id="anysvml"/><Relationship Type="http://schemas.openxmlformats.org/officeDocument/2006/relationships/pivotTable" Target="/xl/pivotTables/pivotTable44.xml" Id="rId4"/><Relationship Type="http://schemas.openxmlformats.org/officeDocument/2006/relationships/pivotTable" Target="/xl/pivotTables/pivotTable45.xml" Id="rId5"/><Relationship Type="http://schemas.openxmlformats.org/officeDocument/2006/relationships/pivotTable" Target="/xl/pivotTables/pivotTable46.xml" Id="rId6"/><Relationship Type="http://schemas.openxmlformats.org/officeDocument/2006/relationships/pivotTable" Target="/xl/pivotTables/pivotTable47.xml" Id="rId7"/><Relationship Type="http://schemas.openxmlformats.org/officeDocument/2006/relationships/pivotTable" Target="/xl/pivotTables/pivotTable48.xml" Id="rId8"/></Relationships>
</file>

<file path=xl/worksheets/_rels/sheet19.xml.rels><Relationships xmlns="http://schemas.openxmlformats.org/package/2006/relationships"><Relationship Type="http://schemas.openxmlformats.org/officeDocument/2006/relationships/drawing" Target="/xl/drawings/drawing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 Type="http://schemas.openxmlformats.org/officeDocument/2006/relationships/pivotTable" Target="/xl/pivotTables/pivotTable49.xml" Id="rId4"/><Relationship Type="http://schemas.openxmlformats.org/officeDocument/2006/relationships/pivotTable" Target="/xl/pivotTables/pivotTable50.xml" Id="rId5"/><Relationship Type="http://schemas.openxmlformats.org/officeDocument/2006/relationships/pivotTable" Target="/xl/pivotTables/pivotTable51.xml" Id="rId6"/><Relationship Type="http://schemas.openxmlformats.org/officeDocument/2006/relationships/pivotTable" Target="/xl/pivotTables/pivotTable52.xml" Id="rId7"/><Relationship Type="http://schemas.openxmlformats.org/officeDocument/2006/relationships/pivotTable" Target="/xl/pivotTables/pivotTable53.xml" Id="rId8"/></Relationships>
</file>

<file path=xl/worksheets/_rels/sheet20.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1.xml.rels><Relationships xmlns="http://schemas.openxmlformats.org/package/2006/relationships"><Relationship Type="http://schemas.openxmlformats.org/officeDocument/2006/relationships/drawing" Target="/xl/drawings/drawing11.xml" Id="rId1"/><Relationship Type="http://schemas.openxmlformats.org/officeDocument/2006/relationships/comments" Target="/xl/comments/comment12.xml" Id="comments"/><Relationship Type="http://schemas.openxmlformats.org/officeDocument/2006/relationships/vmlDrawing" Target="/xl/drawings/commentsDrawing12.vml" Id="anysvml"/><Relationship Type="http://schemas.openxmlformats.org/officeDocument/2006/relationships/pivotTable" Target="/xl/pivotTables/pivotTable54.xml" Id="rId4"/><Relationship Type="http://schemas.openxmlformats.org/officeDocument/2006/relationships/pivotTable" Target="/xl/pivotTables/pivotTable55.xml" Id="rId5"/><Relationship Type="http://schemas.openxmlformats.org/officeDocument/2006/relationships/pivotTable" Target="/xl/pivotTables/pivotTable56.xml" Id="rId6"/><Relationship Type="http://schemas.openxmlformats.org/officeDocument/2006/relationships/pivotTable" Target="/xl/pivotTables/pivotTable57.xml" Id="rId7"/><Relationship Type="http://schemas.openxmlformats.org/officeDocument/2006/relationships/pivotTable" Target="/xl/pivotTables/pivotTable58.xml" Id="rId8"/></Relationships>
</file>

<file path=xl/worksheets/_rels/sheet22.xml.rels><Relationships xmlns="http://schemas.openxmlformats.org/package/2006/relationships"><Relationship Type="http://schemas.openxmlformats.org/officeDocument/2006/relationships/drawing" Target="/xl/drawings/drawing12.xml" Id="rId1"/><Relationship Type="http://schemas.openxmlformats.org/officeDocument/2006/relationships/comments" Target="/xl/comments/comment13.xml" Id="comments"/><Relationship Type="http://schemas.openxmlformats.org/officeDocument/2006/relationships/vmlDrawing" Target="/xl/drawings/commentsDrawing13.vml" Id="anysvml"/><Relationship Type="http://schemas.openxmlformats.org/officeDocument/2006/relationships/pivotTable" Target="/xl/pivotTables/pivotTable59.xml" Id="rId4"/><Relationship Type="http://schemas.openxmlformats.org/officeDocument/2006/relationships/pivotTable" Target="/xl/pivotTables/pivotTable60.xml" Id="rId5"/><Relationship Type="http://schemas.openxmlformats.org/officeDocument/2006/relationships/pivotTable" Target="/xl/pivotTables/pivotTable61.xml" Id="rId6"/><Relationship Type="http://schemas.openxmlformats.org/officeDocument/2006/relationships/pivotTable" Target="/xl/pivotTables/pivotTable62.xml" Id="rId7"/><Relationship Type="http://schemas.openxmlformats.org/officeDocument/2006/relationships/pivotTable" Target="/xl/pivotTables/pivotTable63.xml" Id="rId8"/></Relationships>
</file>

<file path=xl/worksheets/_rels/sheet23.xml.rels><Relationships xmlns="http://schemas.openxmlformats.org/package/2006/relationships"><Relationship Type="http://schemas.openxmlformats.org/officeDocument/2006/relationships/drawing" Target="/xl/drawings/drawing13.xml" Id="rId1"/><Relationship Type="http://schemas.openxmlformats.org/officeDocument/2006/relationships/pivotTable" Target="/xl/pivotTables/pivotTable64.xml" Id="rId2"/><Relationship Type="http://schemas.openxmlformats.org/officeDocument/2006/relationships/pivotTable" Target="/xl/pivotTables/pivotTable65.xml" Id="rId3"/><Relationship Type="http://schemas.openxmlformats.org/officeDocument/2006/relationships/pivotTable" Target="/xl/pivotTables/pivotTable66.xml" Id="rId4"/><Relationship Type="http://schemas.openxmlformats.org/officeDocument/2006/relationships/pivotTable" Target="/xl/pivotTables/pivotTable67.xml" Id="rId5"/></Relationships>
</file>

<file path=xl/worksheets/_rels/sheet24.xml.rels><Relationships xmlns="http://schemas.openxmlformats.org/package/2006/relationships"><Relationship Type="http://schemas.openxmlformats.org/officeDocument/2006/relationships/drawing" Target="/xl/drawings/drawing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 Type="http://schemas.openxmlformats.org/officeDocument/2006/relationships/pivotTable" Target="/xl/pivotTables/pivotTable68.xml" Id="rId4"/><Relationship Type="http://schemas.openxmlformats.org/officeDocument/2006/relationships/pivotTable" Target="/xl/pivotTables/pivotTable69.xml" Id="rId5"/><Relationship Type="http://schemas.openxmlformats.org/officeDocument/2006/relationships/pivotTable" Target="/xl/pivotTables/pivotTable70.xml" Id="rId6"/><Relationship Type="http://schemas.openxmlformats.org/officeDocument/2006/relationships/pivotTable" Target="/xl/pivotTables/pivotTable71.xml" Id="rId7"/><Relationship Type="http://schemas.openxmlformats.org/officeDocument/2006/relationships/pivotTable" Target="/xl/pivotTables/pivotTable72.xml" Id="rId8"/></Relationships>
</file>

<file path=xl/worksheets/_rels/sheet25.xml.rels><Relationships xmlns="http://schemas.openxmlformats.org/package/2006/relationships"><Relationship Type="http://schemas.openxmlformats.org/officeDocument/2006/relationships/drawing" Target="/xl/drawings/drawing15.xml" Id="rId1"/><Relationship Type="http://schemas.openxmlformats.org/officeDocument/2006/relationships/pivotTable" Target="/xl/pivotTables/pivotTable73.xml" Id="rId2"/><Relationship Type="http://schemas.openxmlformats.org/officeDocument/2006/relationships/pivotTable" Target="/xl/pivotTables/pivotTable74.xml" Id="rId3"/><Relationship Type="http://schemas.openxmlformats.org/officeDocument/2006/relationships/pivotTable" Target="/xl/pivotTables/pivotTable75.xml" Id="rId4"/><Relationship Type="http://schemas.openxmlformats.org/officeDocument/2006/relationships/pivotTable" Target="/xl/pivotTables/pivotTable76.xml" Id="rId5"/></Relationships>
</file>

<file path=xl/worksheets/_rels/sheet26.xml.rels><Relationships xmlns="http://schemas.openxmlformats.org/package/2006/relationships"><Relationship Type="http://schemas.openxmlformats.org/officeDocument/2006/relationships/drawing" Target="/xl/drawings/drawing16.xml" Id="rId1"/><Relationship Type="http://schemas.openxmlformats.org/officeDocument/2006/relationships/comments" Target="/xl/comments/comment15.xml" Id="comments"/><Relationship Type="http://schemas.openxmlformats.org/officeDocument/2006/relationships/vmlDrawing" Target="/xl/drawings/commentsDrawing15.vml" Id="anysvml"/><Relationship Type="http://schemas.openxmlformats.org/officeDocument/2006/relationships/pivotTable" Target="/xl/pivotTables/pivotTable77.xml" Id="rId4"/><Relationship Type="http://schemas.openxmlformats.org/officeDocument/2006/relationships/pivotTable" Target="/xl/pivotTables/pivotTable78.xml" Id="rId5"/><Relationship Type="http://schemas.openxmlformats.org/officeDocument/2006/relationships/pivotTable" Target="/xl/pivotTables/pivotTable79.xml" Id="rId6"/><Relationship Type="http://schemas.openxmlformats.org/officeDocument/2006/relationships/pivotTable" Target="/xl/pivotTables/pivotTable80.xml" Id="rId7"/><Relationship Type="http://schemas.openxmlformats.org/officeDocument/2006/relationships/pivotTable" Target="/xl/pivotTables/pivotTable81.xml" Id="rId8"/></Relationships>
</file>

<file path=xl/worksheets/_rels/sheet27.xml.rels><Relationships xmlns="http://schemas.openxmlformats.org/package/2006/relationships"><Relationship Type="http://schemas.openxmlformats.org/officeDocument/2006/relationships/drawing" Target="/xl/drawings/drawing17.xml" Id="rId1"/><Relationship Type="http://schemas.openxmlformats.org/officeDocument/2006/relationships/comments" Target="/xl/comments/comment16.xml" Id="comments"/><Relationship Type="http://schemas.openxmlformats.org/officeDocument/2006/relationships/vmlDrawing" Target="/xl/drawings/commentsDrawing16.vml" Id="anysvml"/><Relationship Type="http://schemas.openxmlformats.org/officeDocument/2006/relationships/pivotTable" Target="/xl/pivotTables/pivotTable82.xml" Id="rId4"/><Relationship Type="http://schemas.openxmlformats.org/officeDocument/2006/relationships/pivotTable" Target="/xl/pivotTables/pivotTable83.xml" Id="rId5"/><Relationship Type="http://schemas.openxmlformats.org/officeDocument/2006/relationships/pivotTable" Target="/xl/pivotTables/pivotTable84.xml" Id="rId6"/><Relationship Type="http://schemas.openxmlformats.org/officeDocument/2006/relationships/pivotTable" Target="/xl/pivotTables/pivotTable85.xml" Id="rId7"/><Relationship Type="http://schemas.openxmlformats.org/officeDocument/2006/relationships/pivotTable" Target="/xl/pivotTables/pivotTable86.xml" Id="rId8"/><Relationship Type="http://schemas.openxmlformats.org/officeDocument/2006/relationships/pivotTable" Target="/xl/pivotTables/pivotTable87.xml" Id="rId9"/></Relationships>
</file>

<file path=xl/worksheets/_rels/sheet28.xml.rels><Relationships xmlns="http://schemas.openxmlformats.org/package/2006/relationships"><Relationship Type="http://schemas.openxmlformats.org/officeDocument/2006/relationships/drawing" Target="/xl/drawings/drawing18.xml" Id="rId1"/><Relationship Type="http://schemas.openxmlformats.org/officeDocument/2006/relationships/comments" Target="/xl/comments/comment17.xml" Id="comments"/><Relationship Type="http://schemas.openxmlformats.org/officeDocument/2006/relationships/vmlDrawing" Target="/xl/drawings/commentsDrawing17.vml" Id="anysvml"/><Relationship Type="http://schemas.openxmlformats.org/officeDocument/2006/relationships/pivotTable" Target="/xl/pivotTables/pivotTable88.xml" Id="rId4"/><Relationship Type="http://schemas.openxmlformats.org/officeDocument/2006/relationships/pivotTable" Target="/xl/pivotTables/pivotTable89.xml" Id="rId5"/><Relationship Type="http://schemas.openxmlformats.org/officeDocument/2006/relationships/pivotTable" Target="/xl/pivotTables/pivotTable90.xml" Id="rId6"/><Relationship Type="http://schemas.openxmlformats.org/officeDocument/2006/relationships/pivotTable" Target="/xl/pivotTables/pivotTable91.xml" Id="rId7"/><Relationship Type="http://schemas.openxmlformats.org/officeDocument/2006/relationships/pivotTable" Target="/xl/pivotTables/pivotTable92.xml" Id="rId8"/></Relationships>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Carryover Percentage - Week Starting On: LCW 4/6 - 4/20</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LCW 4/6 - 4/20</t>
        </is>
      </c>
      <c r="B4" t="n">
        <v>52</v>
      </c>
      <c r="C4" t="n">
        <v>36</v>
      </c>
      <c r="D4" t="n">
        <v>18</v>
      </c>
      <c r="E4" t="n">
        <v>34</v>
      </c>
      <c r="F4" t="n">
        <v>2</v>
      </c>
      <c r="G4" t="n">
        <v>0</v>
      </c>
      <c r="H4" t="n">
        <v>5</v>
      </c>
      <c r="I4" t="n">
        <v>11</v>
      </c>
      <c r="J4" t="n">
        <v>16</v>
      </c>
      <c r="K4" t="n">
        <v>0.1111111111111111</v>
      </c>
      <c r="L4" t="n">
        <v>0</v>
      </c>
      <c r="M4" t="n">
        <v>0.2777777777777778</v>
      </c>
      <c r="N4" t="n">
        <v>0.3235294117647059</v>
      </c>
      <c r="O4" t="n">
        <v>0.6923076923076923</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Y75"/>
  <sheetViews>
    <sheetView showGridLines="0" zoomScale="98" zoomScaleNormal="98" workbookViewId="0">
      <pane ySplit="1" topLeftCell="A52" activePane="bottomLeft" state="frozen"/>
      <selection pane="bottomLeft" activeCell="AJ74" sqref="AI69:AJ74"/>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23.42578125" bestFit="1" customWidth="1" style="65" min="34" max="34"/>
    <col width="28.140625" bestFit="1" customWidth="1" style="65" min="35" max="35"/>
    <col width="28.5703125" bestFit="1" customWidth="1" style="65" min="36" max="36"/>
    <col width="9.140625" customWidth="1" style="65" min="37" max="37"/>
    <col width="23.42578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2025: LCW 07/01 - 07/31</t>
        </is>
      </c>
      <c r="S2" s="81" t="n">
        <v>136</v>
      </c>
      <c r="T2" s="81" t="n">
        <v>136</v>
      </c>
      <c r="U2" s="81" t="n">
        <v>46</v>
      </c>
      <c r="V2" s="81" t="n">
        <v>90</v>
      </c>
      <c r="W2" s="81" t="n">
        <v>0</v>
      </c>
      <c r="X2" s="81" t="n">
        <v>0</v>
      </c>
      <c r="Y2" s="81" t="n">
        <v>0</v>
      </c>
      <c r="Z2" s="81" t="n">
        <v>0</v>
      </c>
      <c r="AA2" s="81" t="n">
        <v>46</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2025: LCW 08/01 - 08/31</t>
        </is>
      </c>
      <c r="S3" s="81" t="n">
        <v>146</v>
      </c>
      <c r="T3" s="81" t="n">
        <v>146</v>
      </c>
      <c r="U3" s="81" t="n">
        <v>36</v>
      </c>
      <c r="V3" s="81" t="n">
        <v>110</v>
      </c>
      <c r="W3" s="81" t="n">
        <v>0</v>
      </c>
      <c r="X3" s="81" t="n">
        <v>0</v>
      </c>
      <c r="Y3" s="81" t="n">
        <v>0</v>
      </c>
      <c r="Z3" s="81" t="n">
        <v>0</v>
      </c>
      <c r="AA3" s="81" t="n">
        <v>36</v>
      </c>
      <c r="AB3" s="142">
        <f>W3/U3</f>
        <v/>
      </c>
      <c r="AC3" s="142">
        <f>X3/V3</f>
        <v/>
      </c>
      <c r="AD3" s="142">
        <f>Y3/U3</f>
        <v/>
      </c>
      <c r="AE3" s="142">
        <f>Z3/V3</f>
        <v/>
      </c>
      <c r="AF3" s="142">
        <f>T3/S3</f>
        <v/>
      </c>
      <c r="AH3" s="65" t="inlineStr">
        <is>
          <t>2025: LCW 12/01- 12/31</t>
        </is>
      </c>
      <c r="AI3" s="65" t="n">
        <v>20</v>
      </c>
      <c r="AJ3" s="65" t="n">
        <v>103</v>
      </c>
      <c r="AL3" s="65" t="inlineStr">
        <is>
          <t>2025: LCW 12/01- 12/31</t>
        </is>
      </c>
      <c r="AM3" s="65" t="n">
        <v>0</v>
      </c>
      <c r="AN3" s="65" t="n">
        <v>20</v>
      </c>
      <c r="AT3" s="65" t="inlineStr">
        <is>
          <t>Red</t>
        </is>
      </c>
    </row>
    <row r="4" ht="18" customHeight="1">
      <c r="B4" s="17" t="n"/>
      <c r="O4" s="10" t="n"/>
      <c r="R4" s="81" t="inlineStr">
        <is>
          <t>2025: LCW 09/01 - 09/30</t>
        </is>
      </c>
      <c r="S4" s="81" t="n">
        <v>126</v>
      </c>
      <c r="T4" s="81" t="n">
        <v>126</v>
      </c>
      <c r="U4" s="81" t="n">
        <v>25</v>
      </c>
      <c r="V4" s="81" t="n">
        <v>101</v>
      </c>
      <c r="W4" s="81" t="n">
        <v>0</v>
      </c>
      <c r="X4" s="81" t="n">
        <v>0</v>
      </c>
      <c r="Y4" s="81" t="n">
        <v>0</v>
      </c>
      <c r="Z4" s="81" t="n">
        <v>0</v>
      </c>
      <c r="AA4" s="81" t="n">
        <v>25</v>
      </c>
      <c r="AB4" s="142">
        <f>W4/U4</f>
        <v/>
      </c>
      <c r="AC4" s="142">
        <f>X4/V4</f>
        <v/>
      </c>
      <c r="AD4" s="142">
        <f>Y4/U4</f>
        <v/>
      </c>
      <c r="AE4" s="142">
        <f>Z4/V4</f>
        <v/>
      </c>
      <c r="AF4" s="142">
        <f>T4/S4</f>
        <v/>
      </c>
      <c r="AH4" s="65" t="inlineStr">
        <is>
          <t>2026: LCW 01/01 - 01/31</t>
        </is>
      </c>
      <c r="AI4" s="65" t="n">
        <v>24</v>
      </c>
      <c r="AJ4" s="65" t="n">
        <v>114</v>
      </c>
      <c r="AL4" s="65" t="inlineStr">
        <is>
          <t>2026: LCW 01/01 - 01/31</t>
        </is>
      </c>
      <c r="AM4" s="65" t="n">
        <v>0</v>
      </c>
      <c r="AN4" s="65" t="n">
        <v>24</v>
      </c>
      <c r="AT4" s="65" t="inlineStr">
        <is>
          <t>Amber</t>
        </is>
      </c>
    </row>
    <row r="5" ht="18" customHeight="1">
      <c r="B5" s="17" t="n"/>
      <c r="O5" s="10" t="n"/>
      <c r="R5" s="81" t="inlineStr">
        <is>
          <t>2025: LCW 10/01 -10/31</t>
        </is>
      </c>
      <c r="S5" s="81" t="n">
        <v>124</v>
      </c>
      <c r="T5" s="81" t="n">
        <v>124</v>
      </c>
      <c r="U5" s="81" t="n">
        <v>34</v>
      </c>
      <c r="V5" s="81" t="n">
        <v>90</v>
      </c>
      <c r="W5" s="81" t="n">
        <v>0</v>
      </c>
      <c r="X5" s="81" t="n">
        <v>0</v>
      </c>
      <c r="Y5" s="81" t="n">
        <v>0</v>
      </c>
      <c r="Z5" s="81" t="n">
        <v>0</v>
      </c>
      <c r="AA5" s="81" t="n">
        <v>34</v>
      </c>
      <c r="AB5" s="142">
        <f>W5/U5</f>
        <v/>
      </c>
      <c r="AC5" s="142">
        <f>X5/V5</f>
        <v/>
      </c>
      <c r="AD5" s="142">
        <f>Y5/U5</f>
        <v/>
      </c>
      <c r="AE5" s="142">
        <f>Z5/V5</f>
        <v/>
      </c>
      <c r="AF5" s="142">
        <f>T5/S5</f>
        <v/>
      </c>
      <c r="AH5" s="65" t="inlineStr">
        <is>
          <t>2026: LCW 02/01 - 02/28</t>
        </is>
      </c>
      <c r="AI5" s="65" t="n">
        <v>22</v>
      </c>
      <c r="AJ5" s="65" t="n">
        <v>113</v>
      </c>
      <c r="AL5" s="65" t="inlineStr">
        <is>
          <t>2026: LCW 02/01 - 02/28</t>
        </is>
      </c>
      <c r="AM5" s="65" t="n">
        <v>0</v>
      </c>
      <c r="AN5" s="65" t="n">
        <v>22</v>
      </c>
    </row>
    <row r="6" ht="18" customHeight="1">
      <c r="B6" s="175" t="n"/>
      <c r="C6" s="176" t="n"/>
      <c r="D6" s="176" t="n"/>
      <c r="E6" s="176" t="n"/>
      <c r="F6" s="176" t="n"/>
      <c r="G6" s="176" t="n"/>
      <c r="H6" s="176" t="n"/>
      <c r="I6" s="176" t="n"/>
      <c r="J6" s="176" t="n"/>
      <c r="K6" s="176" t="n"/>
      <c r="L6" s="176" t="n"/>
      <c r="M6" s="176" t="n"/>
      <c r="N6" s="176" t="n"/>
      <c r="O6" s="177" t="n"/>
      <c r="R6" s="81" t="inlineStr">
        <is>
          <t>2025: LCW 11/01 - 11/30</t>
        </is>
      </c>
      <c r="S6" s="81" t="n">
        <v>132</v>
      </c>
      <c r="T6" s="81" t="n">
        <v>132</v>
      </c>
      <c r="U6" s="81" t="n">
        <v>28</v>
      </c>
      <c r="V6" s="81" t="n">
        <v>104</v>
      </c>
      <c r="W6" s="81" t="n">
        <v>0</v>
      </c>
      <c r="X6" s="81" t="n">
        <v>0</v>
      </c>
      <c r="Y6" s="81" t="n">
        <v>0</v>
      </c>
      <c r="Z6" s="81" t="n">
        <v>0</v>
      </c>
      <c r="AA6" s="81" t="n">
        <v>28</v>
      </c>
      <c r="AB6" s="142">
        <f>W6/U6</f>
        <v/>
      </c>
      <c r="AC6" s="142">
        <f>X6/V6</f>
        <v/>
      </c>
      <c r="AD6" s="142">
        <f>Y6/U6</f>
        <v/>
      </c>
      <c r="AE6" s="142">
        <f>Z6/V6</f>
        <v/>
      </c>
      <c r="AF6" s="142">
        <f>T6/S6</f>
        <v/>
      </c>
      <c r="AH6" s="65" t="inlineStr">
        <is>
          <t>2026: LCW 03/01 - 03/31</t>
        </is>
      </c>
      <c r="AI6" s="65" t="n">
        <v>17</v>
      </c>
      <c r="AJ6" s="65" t="n">
        <v>93</v>
      </c>
      <c r="AL6" s="65" t="inlineStr">
        <is>
          <t>2026: LCW 03/01 - 03/31</t>
        </is>
      </c>
      <c r="AM6" s="65" t="n">
        <v>3</v>
      </c>
      <c r="AN6" s="65" t="n">
        <v>17</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46175</v>
      </c>
      <c r="O7" s="177" t="n"/>
      <c r="R7" s="81" t="inlineStr">
        <is>
          <t>2025: LCW 12/01- 12/31</t>
        </is>
      </c>
      <c r="S7" s="81" t="n">
        <v>123</v>
      </c>
      <c r="T7" s="81" t="n">
        <v>123</v>
      </c>
      <c r="U7" s="81" t="n">
        <v>20</v>
      </c>
      <c r="V7" s="81" t="n">
        <v>103</v>
      </c>
      <c r="W7" s="81" t="n">
        <v>0</v>
      </c>
      <c r="X7" s="81" t="n">
        <v>0</v>
      </c>
      <c r="Y7" s="81" t="n">
        <v>0</v>
      </c>
      <c r="Z7" s="81" t="n">
        <v>0</v>
      </c>
      <c r="AA7" s="81" t="n">
        <v>20</v>
      </c>
      <c r="AB7" s="142">
        <f>W7/U7</f>
        <v/>
      </c>
      <c r="AC7" s="142">
        <f>X7/V7</f>
        <v/>
      </c>
      <c r="AD7" s="142">
        <f>Y7/U7</f>
        <v/>
      </c>
      <c r="AE7" s="142">
        <f>Z7/V7</f>
        <v/>
      </c>
      <c r="AF7" s="142">
        <f>T7/S7</f>
        <v/>
      </c>
      <c r="AH7" s="65" t="inlineStr">
        <is>
          <t>2026: LCW 04/01 - 04/30</t>
        </is>
      </c>
      <c r="AI7" s="65" t="n">
        <v>29</v>
      </c>
      <c r="AJ7" s="65" t="n">
        <v>116</v>
      </c>
      <c r="AL7" s="65" t="inlineStr">
        <is>
          <t>2026: LCW 04/01 - 04/30</t>
        </is>
      </c>
      <c r="AM7" s="65" t="n">
        <v>0</v>
      </c>
      <c r="AN7" s="65" t="n">
        <v>29</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2026: LCW 01/01 - 01/31</t>
        </is>
      </c>
      <c r="S8" s="81" t="n">
        <v>138</v>
      </c>
      <c r="T8" s="81" t="n">
        <v>138</v>
      </c>
      <c r="U8" s="81" t="n">
        <v>24</v>
      </c>
      <c r="V8" s="81" t="n">
        <v>114</v>
      </c>
      <c r="W8" s="81" t="n">
        <v>0</v>
      </c>
      <c r="X8" s="81" t="n">
        <v>0</v>
      </c>
      <c r="Y8" s="81" t="n">
        <v>0</v>
      </c>
      <c r="Z8" s="81" t="n">
        <v>0</v>
      </c>
      <c r="AA8" s="81" t="n">
        <v>24</v>
      </c>
      <c r="AB8" s="142">
        <f>W8/U8</f>
        <v/>
      </c>
      <c r="AC8" s="142">
        <f>X8/V8</f>
        <v/>
      </c>
      <c r="AD8" s="142">
        <f>Y8/U8</f>
        <v/>
      </c>
      <c r="AE8" s="142">
        <f>Z8/V8</f>
        <v/>
      </c>
      <c r="AF8" s="142">
        <f>T8/S8</f>
        <v/>
      </c>
      <c r="AH8" s="65" t="inlineStr">
        <is>
          <t>2026: LCW 05/01 - 05/31</t>
        </is>
      </c>
      <c r="AI8" s="65" t="n">
        <v>23</v>
      </c>
      <c r="AJ8" s="65" t="n">
        <v>108</v>
      </c>
      <c r="AL8" s="65" t="inlineStr">
        <is>
          <t>2026: LCW 05/01 - 05/31</t>
        </is>
      </c>
      <c r="AM8" s="65" t="n">
        <v>0</v>
      </c>
      <c r="AN8" s="65" t="n">
        <v>23</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2026: LCW 02/01 - 02/28</t>
        </is>
      </c>
      <c r="S9" s="81" t="n">
        <v>135</v>
      </c>
      <c r="T9" s="81" t="n">
        <v>135</v>
      </c>
      <c r="U9" s="81" t="n">
        <v>22</v>
      </c>
      <c r="V9" s="81" t="n">
        <v>113</v>
      </c>
      <c r="W9" s="81" t="n">
        <v>0</v>
      </c>
      <c r="X9" s="81" t="n">
        <v>0</v>
      </c>
      <c r="Y9" s="81" t="n">
        <v>0</v>
      </c>
      <c r="Z9" s="81" t="n">
        <v>0</v>
      </c>
      <c r="AA9" s="81" t="n">
        <v>22</v>
      </c>
      <c r="AB9" s="142">
        <f>W9/U9</f>
        <v/>
      </c>
      <c r="AC9" s="142">
        <f>X9/V9</f>
        <v/>
      </c>
      <c r="AD9" s="142">
        <f>Y9/U9</f>
        <v/>
      </c>
      <c r="AE9" s="142">
        <f>Z9/V9</f>
        <v/>
      </c>
      <c r="AF9" s="142">
        <f>T9/S9</f>
        <v/>
      </c>
      <c r="AH9" s="65" t="inlineStr">
        <is>
          <t>Grand Total</t>
        </is>
      </c>
      <c r="AI9" s="65" t="n">
        <v>135</v>
      </c>
      <c r="AJ9" s="65" t="n">
        <v>647</v>
      </c>
      <c r="AL9" s="65" t="inlineStr">
        <is>
          <t>Grand Total</t>
        </is>
      </c>
      <c r="AM9" s="65" t="n">
        <v>3</v>
      </c>
      <c r="AN9" s="65" t="n">
        <v>135</v>
      </c>
    </row>
    <row r="10" ht="18" customHeight="1">
      <c r="B10" s="175" t="n"/>
      <c r="C10" s="178" t="inlineStr">
        <is>
          <t>Project Manager/Lead</t>
        </is>
      </c>
      <c r="D10" s="301" t="inlineStr">
        <is>
          <t>Amul</t>
        </is>
      </c>
      <c r="F10" s="224" t="n"/>
      <c r="G10" s="224" t="n"/>
      <c r="H10" s="176" t="n"/>
      <c r="I10" s="176" t="n"/>
      <c r="J10" s="176" t="n"/>
      <c r="K10" s="176" t="n"/>
      <c r="L10" s="176" t="n"/>
      <c r="M10" s="176" t="n"/>
      <c r="N10" s="176" t="n"/>
      <c r="O10" s="177" t="n"/>
      <c r="R10" s="81" t="inlineStr">
        <is>
          <t>2026: LCW 03/01 - 03/31</t>
        </is>
      </c>
      <c r="S10" s="81" t="n">
        <v>110</v>
      </c>
      <c r="T10" s="81" t="n">
        <v>110</v>
      </c>
      <c r="U10" s="81" t="n">
        <v>17</v>
      </c>
      <c r="V10" s="81" t="n">
        <v>93</v>
      </c>
      <c r="W10" s="81" t="n">
        <v>3</v>
      </c>
      <c r="X10" s="81" t="n">
        <v>0</v>
      </c>
      <c r="Y10" s="81" t="n">
        <v>0</v>
      </c>
      <c r="Z10" s="81" t="n">
        <v>0</v>
      </c>
      <c r="AA10" s="81" t="n">
        <v>17</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2026: LCW 04/01 - 04/30</t>
        </is>
      </c>
      <c r="S11" s="81" t="n">
        <v>145</v>
      </c>
      <c r="T11" s="81" t="n">
        <v>145</v>
      </c>
      <c r="U11" s="81" t="n">
        <v>29</v>
      </c>
      <c r="V11" s="81" t="n">
        <v>116</v>
      </c>
      <c r="W11" s="81" t="n">
        <v>0</v>
      </c>
      <c r="X11" s="81" t="n">
        <v>0</v>
      </c>
      <c r="Y11" s="81" t="n">
        <v>0</v>
      </c>
      <c r="Z11" s="81" t="n">
        <v>0</v>
      </c>
      <c r="AA11" s="81" t="n">
        <v>29</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2026: LCW 05/01 - 05/31</t>
        </is>
      </c>
      <c r="S12" s="81" t="n">
        <v>131</v>
      </c>
      <c r="T12" s="81" t="n">
        <v>131</v>
      </c>
      <c r="U12" s="81" t="n">
        <v>23</v>
      </c>
      <c r="V12" s="81" t="n">
        <v>108</v>
      </c>
      <c r="W12" s="81" t="n">
        <v>0</v>
      </c>
      <c r="X12" s="81" t="n">
        <v>0</v>
      </c>
      <c r="Y12" s="81" t="n">
        <v>0</v>
      </c>
      <c r="Z12" s="81" t="n">
        <v>0</v>
      </c>
      <c r="AA12" s="81" t="n">
        <v>23</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6</v>
      </c>
      <c r="G15" s="155" t="n"/>
      <c r="H15" s="155" t="n"/>
      <c r="I15" s="155" t="n"/>
      <c r="J15" s="176" t="n"/>
      <c r="K15" s="176" t="n"/>
      <c r="L15" s="176" t="n"/>
      <c r="M15" s="176" t="n"/>
      <c r="N15" s="176" t="n"/>
      <c r="O15" s="177" t="n"/>
      <c r="R15" s="172"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thickBot="1">
      <c r="B16" s="186" t="n"/>
      <c r="C16" s="187" t="n"/>
      <c r="D16" s="188" t="n"/>
      <c r="E16" s="188" t="n"/>
      <c r="F16" s="188" t="n"/>
      <c r="G16" s="188" t="n"/>
      <c r="H16" s="188" t="n"/>
      <c r="I16" s="188" t="n"/>
      <c r="J16" s="188" t="n"/>
      <c r="K16" s="188" t="n"/>
      <c r="L16" s="188" t="n"/>
      <c r="M16" s="188" t="n"/>
      <c r="N16" s="189" t="n"/>
      <c r="O16" s="190" t="n"/>
      <c r="AB16" s="142" t="n"/>
      <c r="AC16" s="142" t="n"/>
      <c r="AD16" s="142" t="n"/>
      <c r="AE16" s="142" t="n"/>
      <c r="AF16" s="142" t="n"/>
      <c r="AH16" s="81">
        <f>AH6</f>
        <v/>
      </c>
      <c r="AI16" s="81">
        <f>AI6</f>
        <v/>
      </c>
      <c r="AJ16" s="81">
        <f>AJ6</f>
        <v/>
      </c>
      <c r="AL16" s="81" t="inlineStr">
        <is>
          <t>Rework</t>
        </is>
      </c>
      <c r="AM16" s="81">
        <f>GETPIVOTDATA("Sum of Rework",$AL$2)</f>
        <v/>
      </c>
    </row>
    <row r="17" ht="18" customHeight="1">
      <c r="AB17" s="142" t="n"/>
      <c r="AC17" s="142" t="n"/>
      <c r="AD17" s="142" t="n"/>
      <c r="AE17" s="142" t="n"/>
      <c r="AF17" s="142" t="n"/>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2025: LCW 12/01- 12/31</t>
        </is>
      </c>
      <c r="AI22" s="65" t="n">
        <v>0</v>
      </c>
      <c r="AJ22" s="65" t="n">
        <v>0</v>
      </c>
      <c r="AM22" s="65" t="inlineStr">
        <is>
          <t>2025: LCW 12/01- 12/31</t>
        </is>
      </c>
      <c r="AN22" s="65" t="n">
        <v>0</v>
      </c>
      <c r="AO22" s="65" t="n">
        <v>0</v>
      </c>
    </row>
    <row r="23" ht="18" customHeight="1">
      <c r="AB23" s="142" t="n"/>
      <c r="AC23" s="142" t="n"/>
      <c r="AD23" s="142" t="n"/>
      <c r="AE23" s="142" t="n"/>
      <c r="AF23" s="142" t="n"/>
      <c r="AH23" s="65" t="inlineStr">
        <is>
          <t>2026: LCW 01/01 - 01/31</t>
        </is>
      </c>
      <c r="AI23" s="65" t="n">
        <v>0</v>
      </c>
      <c r="AJ23" s="65" t="n">
        <v>0</v>
      </c>
      <c r="AM23" s="65" t="inlineStr">
        <is>
          <t>2026: LCW 01/01 - 01/31</t>
        </is>
      </c>
      <c r="AN23" s="65" t="n">
        <v>0</v>
      </c>
      <c r="AO23" s="65" t="n">
        <v>0</v>
      </c>
    </row>
    <row r="24" ht="18" customHeight="1">
      <c r="AB24" s="142" t="n"/>
      <c r="AC24" s="142" t="n"/>
      <c r="AD24" s="142" t="n"/>
      <c r="AE24" s="142" t="n"/>
      <c r="AF24" s="142" t="n"/>
      <c r="AH24" s="65" t="inlineStr">
        <is>
          <t>2026: LCW 02/01 - 02/28</t>
        </is>
      </c>
      <c r="AI24" s="65" t="n">
        <v>0</v>
      </c>
      <c r="AJ24" s="65" t="n">
        <v>0</v>
      </c>
      <c r="AM24" s="65" t="inlineStr">
        <is>
          <t>2026: LCW 02/01 - 02/28</t>
        </is>
      </c>
      <c r="AN24" s="65" t="n">
        <v>0</v>
      </c>
      <c r="AO24" s="65" t="n">
        <v>0</v>
      </c>
    </row>
    <row r="25" ht="18" customHeight="1">
      <c r="AB25" s="142" t="n"/>
      <c r="AC25" s="142" t="n"/>
      <c r="AD25" s="142" t="n"/>
      <c r="AE25" s="142" t="n"/>
      <c r="AF25" s="142" t="n"/>
      <c r="AH25" s="65" t="inlineStr">
        <is>
          <t>2026: LCW 03/01 - 03/31</t>
        </is>
      </c>
      <c r="AI25" s="65" t="n">
        <v>0</v>
      </c>
      <c r="AJ25" s="65" t="n">
        <v>0.1764705882352941</v>
      </c>
      <c r="AM25" s="65" t="inlineStr">
        <is>
          <t>2026: LCW 03/01 - 03/31</t>
        </is>
      </c>
      <c r="AN25" s="65" t="n">
        <v>0</v>
      </c>
      <c r="AO25" s="65" t="n">
        <v>0</v>
      </c>
    </row>
    <row r="26" ht="18" customHeight="1">
      <c r="AB26" s="142" t="n"/>
      <c r="AC26" s="142" t="n"/>
      <c r="AD26" s="142" t="n"/>
      <c r="AE26" s="142" t="n"/>
      <c r="AF26" s="142" t="n"/>
      <c r="AH26" s="65" t="inlineStr">
        <is>
          <t>2026: LCW 04/01 - 04/30</t>
        </is>
      </c>
      <c r="AI26" s="65" t="n">
        <v>0</v>
      </c>
      <c r="AJ26" s="65" t="n">
        <v>0</v>
      </c>
      <c r="AM26" s="65" t="inlineStr">
        <is>
          <t>2026: LCW 04/01 - 04/30</t>
        </is>
      </c>
      <c r="AN26" s="65" t="n">
        <v>0</v>
      </c>
      <c r="AO26" s="65" t="n">
        <v>0</v>
      </c>
    </row>
    <row r="27" ht="18" customHeight="1">
      <c r="AB27" s="142" t="n"/>
      <c r="AC27" s="142" t="n"/>
      <c r="AD27" s="142" t="n"/>
      <c r="AE27" s="142" t="n"/>
      <c r="AF27" s="142" t="n"/>
      <c r="AH27" s="65" t="inlineStr">
        <is>
          <t>2026: LCW 05/01 - 05/31</t>
        </is>
      </c>
      <c r="AI27" s="65" t="n">
        <v>0</v>
      </c>
      <c r="AJ27" s="65" t="n">
        <v>0</v>
      </c>
      <c r="AM27" s="65" t="inlineStr">
        <is>
          <t>2026: LCW 05/01 - 05/31</t>
        </is>
      </c>
      <c r="AN27" s="65" t="n">
        <v>0</v>
      </c>
      <c r="AO27" s="65" t="n">
        <v>0</v>
      </c>
    </row>
    <row r="28" ht="18" customHeight="1">
      <c r="AB28" s="142" t="n"/>
      <c r="AC28" s="142" t="n"/>
      <c r="AD28" s="142" t="n"/>
      <c r="AE28" s="142" t="n"/>
      <c r="AF28" s="142" t="n"/>
      <c r="AH28" s="65" t="inlineStr">
        <is>
          <t>Grand Total</t>
        </is>
      </c>
      <c r="AI28" s="65" t="n">
        <v>0</v>
      </c>
      <c r="AJ28" s="65" t="n">
        <v>0.1764705882352941</v>
      </c>
      <c r="AM28" s="65" t="inlineStr">
        <is>
          <t>Grand Total</t>
        </is>
      </c>
      <c r="AN28" s="65" t="n">
        <v>0</v>
      </c>
      <c r="AO28" s="65" t="n">
        <v>0</v>
      </c>
    </row>
    <row r="29" ht="18" customHeight="1">
      <c r="AB29" s="142" t="n"/>
      <c r="AC29" s="142" t="n"/>
      <c r="AD29" s="142" t="n"/>
      <c r="AE29" s="142" t="n"/>
      <c r="AF29" s="142" t="n"/>
    </row>
    <row r="30" ht="18" customHeight="1">
      <c r="AB30" s="142" t="n"/>
      <c r="AC30" s="142" t="n"/>
      <c r="AD30" s="142" t="n"/>
      <c r="AE30" s="142" t="n"/>
      <c r="AF30" s="142" t="n"/>
    </row>
    <row r="31" ht="18" customHeight="1">
      <c r="R31" s="191"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2025: LCW 12/01- 12/31</t>
        </is>
      </c>
      <c r="AM47" s="65" t="n">
        <v>1</v>
      </c>
    </row>
    <row r="48" ht="18" customHeight="1">
      <c r="AB48" s="142" t="n"/>
      <c r="AC48" s="142" t="n"/>
      <c r="AD48" s="142" t="n"/>
      <c r="AE48" s="142" t="n"/>
      <c r="AF48" s="142" t="n"/>
      <c r="AL48" s="65" t="inlineStr">
        <is>
          <t>2026: LCW 01/01 - 01/31</t>
        </is>
      </c>
      <c r="AM48" s="65" t="n">
        <v>1</v>
      </c>
    </row>
    <row r="49" ht="18" customHeight="1">
      <c r="AB49" s="142" t="n"/>
      <c r="AC49" s="142" t="n"/>
      <c r="AD49" s="142" t="n"/>
      <c r="AE49" s="142" t="n"/>
      <c r="AF49" s="142" t="n"/>
      <c r="AL49" s="65" t="inlineStr">
        <is>
          <t>2026: LCW 02/01 - 02/28</t>
        </is>
      </c>
      <c r="AM49" s="65" t="n">
        <v>1</v>
      </c>
    </row>
    <row r="50" ht="18" customHeight="1">
      <c r="AB50" s="142" t="n"/>
      <c r="AC50" s="142" t="n"/>
      <c r="AD50" s="142" t="n"/>
      <c r="AE50" s="142" t="n"/>
      <c r="AF50" s="142" t="n"/>
      <c r="AL50" s="65" t="inlineStr">
        <is>
          <t>2026: LCW 03/01 - 03/31</t>
        </is>
      </c>
      <c r="AM50" s="65" t="n">
        <v>1</v>
      </c>
    </row>
    <row r="51" ht="18" customHeight="1">
      <c r="AB51" s="142" t="n"/>
      <c r="AC51" s="142" t="n"/>
      <c r="AD51" s="142" t="n"/>
      <c r="AE51" s="142" t="n"/>
      <c r="AF51" s="142" t="n"/>
      <c r="AL51" s="65" t="inlineStr">
        <is>
          <t>2026: LCW 04/01 - 04/30</t>
        </is>
      </c>
      <c r="AM51" s="65" t="n">
        <v>1</v>
      </c>
    </row>
    <row r="52" ht="18" customHeight="1">
      <c r="AB52" s="142" t="n"/>
      <c r="AC52" s="142" t="n"/>
      <c r="AD52" s="142" t="n"/>
      <c r="AE52" s="142" t="n"/>
      <c r="AF52" s="142" t="n"/>
      <c r="AL52" s="65" t="inlineStr">
        <is>
          <t>2026: LCW 05/01 - 05/31</t>
        </is>
      </c>
      <c r="AM52" s="65" t="n">
        <v>1</v>
      </c>
    </row>
    <row r="53" ht="18" customHeight="1">
      <c r="AB53" s="142" t="n"/>
      <c r="AC53" s="142" t="n"/>
      <c r="AD53" s="142" t="n"/>
      <c r="AE53" s="142" t="n"/>
      <c r="AF53" s="142" t="n"/>
      <c r="AL53" s="65" t="inlineStr">
        <is>
          <t>Grand Total</t>
        </is>
      </c>
      <c r="AM53" s="65" t="n">
        <v>6</v>
      </c>
    </row>
    <row r="54" ht="18" customHeight="1">
      <c r="AB54" s="142" t="n"/>
      <c r="AC54" s="142" t="n"/>
      <c r="AD54" s="142" t="n"/>
      <c r="AE54" s="142" t="n"/>
      <c r="AF54" s="142" t="n"/>
    </row>
    <row r="55" ht="18" customHeight="1">
      <c r="AB55" s="142" t="n"/>
      <c r="AC55" s="142" t="n"/>
      <c r="AD55" s="142" t="n"/>
      <c r="AE55" s="142" t="n"/>
      <c r="AF55" s="142" t="n"/>
    </row>
    <row r="56" ht="18" customHeight="1">
      <c r="AB56" s="142" t="n"/>
      <c r="AC56" s="142" t="n"/>
      <c r="AD56" s="142" t="n"/>
      <c r="AE56" s="142" t="n"/>
      <c r="AF56" s="142" t="n"/>
    </row>
    <row r="57" ht="18" customHeight="1">
      <c r="AB57" s="142" t="n"/>
      <c r="AC57" s="142" t="n"/>
      <c r="AD57" s="142" t="n"/>
      <c r="AE57" s="142" t="n"/>
      <c r="AF57" s="142" t="n"/>
      <c r="AL57" s="173" t="inlineStr">
        <is>
          <t>Sprint</t>
        </is>
      </c>
      <c r="AM57" s="121" t="inlineStr">
        <is>
          <t>Planned Vs Completed ratio</t>
        </is>
      </c>
    </row>
    <row r="58" ht="18" customHeight="1">
      <c r="AB58" s="142" t="n"/>
      <c r="AC58" s="142" t="n"/>
      <c r="AD58" s="142" t="n"/>
      <c r="AE58" s="142" t="n"/>
      <c r="AF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L61" s="81">
        <f>AL50</f>
        <v/>
      </c>
      <c r="AM61" s="142">
        <f>AM50</f>
        <v/>
      </c>
    </row>
    <row r="62" ht="18" customHeight="1">
      <c r="AB62" s="142" t="n"/>
      <c r="AC62" s="142" t="n"/>
      <c r="AD62" s="142" t="n"/>
      <c r="AE62" s="142" t="n"/>
      <c r="AF62" s="142" t="n"/>
      <c r="AL62" s="81">
        <f>AL51</f>
        <v/>
      </c>
      <c r="AM62" s="142">
        <f>AM51</f>
        <v/>
      </c>
    </row>
    <row r="63" ht="18" customHeight="1">
      <c r="AB63" s="142" t="n"/>
      <c r="AC63" s="142" t="n"/>
      <c r="AD63" s="142" t="n"/>
      <c r="AE63" s="142" t="n"/>
      <c r="AF63" s="142" t="n"/>
      <c r="AL63" s="81">
        <f>AL52</f>
        <v/>
      </c>
      <c r="AM63" s="142">
        <f>AM52</f>
        <v/>
      </c>
    </row>
    <row r="64" ht="18" customHeight="1">
      <c r="AB64" s="142" t="n"/>
      <c r="AC64" s="142" t="n"/>
      <c r="AD64" s="142" t="n"/>
      <c r="AE64" s="142" t="n"/>
      <c r="AF64" s="142" t="n"/>
      <c r="AL64" s="81" t="n"/>
      <c r="AM64" s="142" t="n"/>
    </row>
    <row r="65" ht="18" customHeight="1">
      <c r="AB65" s="142" t="n"/>
      <c r="AC65" s="142" t="n"/>
      <c r="AD65" s="142" t="n"/>
      <c r="AE65" s="142" t="n"/>
      <c r="AF65" s="142" t="n"/>
      <c r="AL65" s="81" t="n"/>
      <c r="AM65" s="81" t="n"/>
    </row>
    <row r="66" ht="18" customHeight="1">
      <c r="AB66" s="142" t="n"/>
      <c r="AC66" s="142" t="n"/>
      <c r="AD66" s="142" t="n"/>
      <c r="AE66" s="142" t="n"/>
      <c r="AF66" s="142" t="n"/>
    </row>
    <row r="67" ht="18" customHeight="1">
      <c r="AB67" s="142" t="n"/>
      <c r="AC67" s="142" t="n"/>
      <c r="AD67" s="142" t="n"/>
      <c r="AE67" s="142" t="n"/>
      <c r="AF67" s="142" t="n"/>
    </row>
    <row r="68" ht="18" customHeight="1">
      <c r="AB68" s="142" t="n"/>
      <c r="AC68" s="142" t="n"/>
      <c r="AD68" s="142" t="n"/>
      <c r="AE68" s="142" t="n"/>
      <c r="AF68" s="142" t="n"/>
      <c r="AH68" s="264" t="inlineStr">
        <is>
          <t>Sprint</t>
        </is>
      </c>
      <c r="AI68" s="81" t="inlineStr">
        <is>
          <t>V2</t>
        </is>
      </c>
      <c r="AJ68" s="81" t="inlineStr">
        <is>
          <t>LT</t>
        </is>
      </c>
    </row>
    <row r="69" ht="18" customHeight="1">
      <c r="AB69" s="142" t="n"/>
      <c r="AC69" s="142" t="n"/>
      <c r="AD69" s="142" t="n"/>
      <c r="AE69" s="142" t="n"/>
      <c r="AF69" s="142" t="n"/>
      <c r="AH69" s="65" t="inlineStr">
        <is>
          <t>2025: LCW 12/01- 12/31</t>
        </is>
      </c>
      <c r="AI69" s="81" t="n">
        <v>0</v>
      </c>
      <c r="AJ69" s="81" t="n">
        <v>0</v>
      </c>
    </row>
    <row r="70" ht="18" customHeight="1">
      <c r="AB70" s="142" t="n"/>
      <c r="AC70" s="142" t="n"/>
      <c r="AD70" s="142" t="n"/>
      <c r="AE70" s="142" t="n"/>
      <c r="AF70" s="142" t="n"/>
      <c r="AH70" s="65" t="inlineStr">
        <is>
          <t>2026: LCW 01/01 - 01/31</t>
        </is>
      </c>
      <c r="AI70" s="81" t="n">
        <v>0</v>
      </c>
      <c r="AJ70" s="81" t="n">
        <v>0</v>
      </c>
    </row>
    <row r="71" ht="18" customHeight="1">
      <c r="AB71" s="142" t="n"/>
      <c r="AC71" s="142" t="n"/>
      <c r="AD71" s="142" t="n"/>
      <c r="AE71" s="142" t="n"/>
      <c r="AF71" s="142" t="n"/>
      <c r="AH71" s="65" t="inlineStr">
        <is>
          <t>2026: LCW 02/01 - 02/28</t>
        </is>
      </c>
      <c r="AI71" s="81" t="n">
        <v>0</v>
      </c>
      <c r="AJ71" s="81" t="n">
        <v>0</v>
      </c>
    </row>
    <row r="72" ht="18" customHeight="1">
      <c r="AB72" s="142" t="n"/>
      <c r="AC72" s="142" t="n"/>
      <c r="AD72" s="142" t="n"/>
      <c r="AE72" s="142" t="n"/>
      <c r="AF72" s="142" t="n"/>
      <c r="AH72" s="65" t="inlineStr">
        <is>
          <t>2026: LCW 03/01 - 03/31</t>
        </is>
      </c>
      <c r="AI72" s="81" t="n">
        <v>3</v>
      </c>
      <c r="AJ72" s="81" t="n">
        <v>0</v>
      </c>
    </row>
    <row r="73" ht="18" customHeight="1">
      <c r="AB73" s="142" t="n"/>
      <c r="AC73" s="142" t="n"/>
      <c r="AD73" s="142" t="n"/>
      <c r="AE73" s="142" t="n"/>
      <c r="AF73" s="142" t="n"/>
      <c r="AH73" s="65" t="inlineStr">
        <is>
          <t>2026: LCW 04/01 - 04/30</t>
        </is>
      </c>
      <c r="AI73" s="81" t="n">
        <v>0</v>
      </c>
      <c r="AJ73" s="81" t="n">
        <v>0</v>
      </c>
    </row>
    <row r="74" ht="18" customHeight="1">
      <c r="AB74" s="142" t="n"/>
      <c r="AC74" s="142" t="n"/>
      <c r="AD74" s="142" t="n"/>
      <c r="AE74" s="142" t="n"/>
      <c r="AF74" s="142" t="n"/>
      <c r="AH74" s="65" t="inlineStr">
        <is>
          <t>2026: LCW 05/01 - 05/31</t>
        </is>
      </c>
      <c r="AI74" s="81" t="n">
        <v>0</v>
      </c>
      <c r="AJ74" s="81" t="n">
        <v>0</v>
      </c>
    </row>
    <row r="75" ht="18" customHeight="1">
      <c r="AH75" s="81" t="n"/>
      <c r="AI75" s="81" t="n"/>
      <c r="AJ75" s="81" t="n"/>
    </row>
  </sheetData>
  <mergeCells count="11">
    <mergeCell ref="D8:E8"/>
    <mergeCell ref="D7:E7"/>
    <mergeCell ref="L7:M7"/>
    <mergeCell ref="D10:E10"/>
    <mergeCell ref="D15:E15"/>
    <mergeCell ref="D12:G12"/>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9.42578125" bestFit="1" customWidth="1" min="1" max="1"/>
    <col width="22.140625" bestFit="1" customWidth="1" min="2" max="2"/>
    <col width="18.710937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LT - Week Starting On: 2024: OFF 2/20 - 3/5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2024: OFF 2/20 - 3/5</t>
        </is>
      </c>
      <c r="B4" t="n">
        <v>40</v>
      </c>
      <c r="C4" t="n">
        <v>13</v>
      </c>
      <c r="D4" t="n">
        <v>2</v>
      </c>
      <c r="E4" t="n">
        <v>11</v>
      </c>
      <c r="F4" t="n">
        <v>0</v>
      </c>
      <c r="G4" t="n">
        <v>2</v>
      </c>
      <c r="H4" t="n">
        <v>10</v>
      </c>
      <c r="I4" t="n">
        <v>17</v>
      </c>
      <c r="J4" t="n">
        <v>2</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21.855468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Planned Vs Completed ratio - Week Starting On: 2025: PHX 01/1 - 01/31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2025: PHX 01/1 - 01/31</t>
        </is>
      </c>
      <c r="B4" t="n">
        <v>43</v>
      </c>
      <c r="C4" t="n">
        <v>43</v>
      </c>
      <c r="D4" t="n">
        <v>11</v>
      </c>
      <c r="E4" t="n">
        <v>32</v>
      </c>
      <c r="F4" t="n">
        <v>0</v>
      </c>
      <c r="G4" t="n">
        <v>0</v>
      </c>
      <c r="H4" t="n">
        <v>0</v>
      </c>
      <c r="I4" t="n">
        <v>0</v>
      </c>
      <c r="J4" t="n">
        <v>11</v>
      </c>
      <c r="K4" t="n">
        <v>0</v>
      </c>
      <c r="L4" t="n">
        <v>0</v>
      </c>
      <c r="M4" t="n">
        <v>0</v>
      </c>
      <c r="N4" t="n">
        <v>0</v>
      </c>
      <c r="O4"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Y80"/>
  <sheetViews>
    <sheetView showGridLines="0" tabSelected="1" zoomScale="106" zoomScaleNormal="106" workbookViewId="0">
      <pane ySplit="1" topLeftCell="M4" activePane="bottomLeft" state="frozen"/>
      <selection pane="bottomLeft" activeCell="R18" sqref="R18"/>
      <selection activeCell="B1" sqref="B1"/>
    </sheetView>
  </sheetViews>
  <sheetFormatPr baseColWidth="8" defaultRowHeight="18" customHeight="1"/>
  <cols>
    <col width="9.140625" customWidth="1" style="65" min="1" max="2"/>
    <col width="20.85546875" bestFit="1" customWidth="1" style="65" min="3" max="3"/>
    <col width="9.140625" customWidth="1" style="65" min="4" max="4"/>
    <col width="12.7109375" customWidth="1" style="65" min="5" max="5"/>
    <col width="15.140625" customWidth="1" style="65" min="6" max="6"/>
    <col width="0.28515625" customWidth="1" style="65" min="7" max="7"/>
    <col width="9.140625" customWidth="1" style="65" min="8"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8.7109375" bestFit="1" customWidth="1" style="65" min="34" max="34"/>
    <col width="28.140625" bestFit="1" customWidth="1" style="65" min="35" max="35"/>
    <col width="28.5703125" bestFit="1" customWidth="1" style="65" min="36" max="36"/>
    <col width="9.140625" customWidth="1" style="65" min="37" max="37"/>
    <col width="18.7109375" bestFit="1" customWidth="1" style="65" min="38" max="38"/>
    <col width="33.42578125" bestFit="1" customWidth="1" style="65" min="39" max="39"/>
    <col width="30.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SEOD 10/07 - 10/21</t>
        </is>
      </c>
      <c r="S2" s="81" t="n">
        <v>45</v>
      </c>
      <c r="T2" s="81">
        <f>S2-(Y2+Z2)</f>
        <v/>
      </c>
      <c r="U2" s="81" t="n">
        <v>7</v>
      </c>
      <c r="V2" s="81" t="n">
        <v>38</v>
      </c>
      <c r="W2" s="81" t="n">
        <v>0</v>
      </c>
      <c r="X2" s="81" t="n">
        <v>8</v>
      </c>
      <c r="Y2" s="81" t="n">
        <v>0</v>
      </c>
      <c r="Z2" s="81" t="n">
        <v>8</v>
      </c>
      <c r="AA2" s="81">
        <f>U2-W2</f>
        <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SEOD 10/21 - 11/04</t>
        </is>
      </c>
      <c r="S3" s="81" t="n">
        <v>46</v>
      </c>
      <c r="T3" s="81">
        <f>S3-(Y3+Z3)</f>
        <v/>
      </c>
      <c r="U3" s="81" t="n">
        <v>11</v>
      </c>
      <c r="V3" s="81" t="n">
        <v>35</v>
      </c>
      <c r="W3" s="81" t="n">
        <v>0</v>
      </c>
      <c r="X3" s="81" t="n">
        <v>2</v>
      </c>
      <c r="Y3" s="81" t="n">
        <v>0</v>
      </c>
      <c r="Z3" s="81" t="n">
        <v>0</v>
      </c>
      <c r="AA3" s="81">
        <f>U3-W3</f>
        <v/>
      </c>
      <c r="AB3" s="142">
        <f>W3/U3</f>
        <v/>
      </c>
      <c r="AC3" s="142">
        <f>X3/V3</f>
        <v/>
      </c>
      <c r="AD3" s="142">
        <f>Y3/U3</f>
        <v/>
      </c>
      <c r="AE3" s="142">
        <f>Z3/V3</f>
        <v/>
      </c>
      <c r="AF3" s="142">
        <f>T3/S3</f>
        <v/>
      </c>
      <c r="AH3" s="65" t="inlineStr">
        <is>
          <t>SEOD 03/10 - 03/24</t>
        </is>
      </c>
      <c r="AI3" s="65" t="n">
        <v>4</v>
      </c>
      <c r="AJ3" s="65" t="n">
        <v>22</v>
      </c>
      <c r="AL3" s="65" t="inlineStr">
        <is>
          <t>SEOD 03/10 - 03/24</t>
        </is>
      </c>
      <c r="AM3" s="65" t="n">
        <v>0</v>
      </c>
      <c r="AN3" s="65" t="n">
        <v>4</v>
      </c>
      <c r="AT3" s="65" t="inlineStr">
        <is>
          <t>Red</t>
        </is>
      </c>
    </row>
    <row r="4" ht="18" customHeight="1">
      <c r="B4" s="17" t="n"/>
      <c r="O4" s="10" t="n"/>
      <c r="R4" s="81" t="inlineStr">
        <is>
          <t>SEOD 11/04 - 11/18</t>
        </is>
      </c>
      <c r="S4" s="81" t="n">
        <v>35</v>
      </c>
      <c r="T4" s="81">
        <f>S4-(Y4+Z4)</f>
        <v/>
      </c>
      <c r="U4" s="81" t="n">
        <v>11</v>
      </c>
      <c r="V4" s="81" t="n">
        <v>24</v>
      </c>
      <c r="W4" s="81" t="n">
        <v>0</v>
      </c>
      <c r="X4" s="81" t="n">
        <v>7</v>
      </c>
      <c r="Y4" s="81" t="n">
        <v>0</v>
      </c>
      <c r="Z4" s="81" t="n">
        <v>8</v>
      </c>
      <c r="AA4" s="81">
        <f>U4-W4</f>
        <v/>
      </c>
      <c r="AB4" s="142">
        <f>W4/U4</f>
        <v/>
      </c>
      <c r="AC4" s="142">
        <f>X4/V4</f>
        <v/>
      </c>
      <c r="AD4" s="142">
        <f>Y4/U4</f>
        <v/>
      </c>
      <c r="AE4" s="142">
        <f>Z4/V4</f>
        <v/>
      </c>
      <c r="AF4" s="142">
        <f>T4/S4</f>
        <v/>
      </c>
      <c r="AH4" s="65" t="inlineStr">
        <is>
          <t>SEOD 03/24 - 04/07</t>
        </is>
      </c>
      <c r="AI4" s="65" t="n">
        <v>17</v>
      </c>
      <c r="AJ4" s="65" t="n">
        <v>14</v>
      </c>
      <c r="AL4" s="65" t="inlineStr">
        <is>
          <t>SEOD 03/24 - 04/07</t>
        </is>
      </c>
      <c r="AM4" s="65" t="n">
        <v>0</v>
      </c>
      <c r="AN4" s="65" t="n">
        <v>17</v>
      </c>
      <c r="AT4" s="65" t="inlineStr">
        <is>
          <t>Amber</t>
        </is>
      </c>
    </row>
    <row r="5" ht="18" customHeight="1">
      <c r="B5" s="17" t="n"/>
      <c r="O5" s="10" t="n"/>
      <c r="R5" s="81" t="inlineStr">
        <is>
          <t>SEOD 11/18 - 12/02</t>
        </is>
      </c>
      <c r="S5" s="81" t="n">
        <v>44</v>
      </c>
      <c r="T5" s="81">
        <f>S5-(Y5+Z5)</f>
        <v/>
      </c>
      <c r="U5" s="81" t="n">
        <v>8</v>
      </c>
      <c r="V5" s="81" t="n">
        <v>36</v>
      </c>
      <c r="W5" s="81" t="n">
        <v>0</v>
      </c>
      <c r="X5" s="81" t="n">
        <v>6</v>
      </c>
      <c r="Y5" s="81" t="n">
        <v>0</v>
      </c>
      <c r="Z5" s="81" t="n">
        <v>0</v>
      </c>
      <c r="AA5" s="81">
        <f>U5-W5</f>
        <v/>
      </c>
      <c r="AB5" s="142">
        <f>W5/U5</f>
        <v/>
      </c>
      <c r="AC5" s="142">
        <f>X5/V5</f>
        <v/>
      </c>
      <c r="AD5" s="142">
        <f>Y5/U5</f>
        <v/>
      </c>
      <c r="AE5" s="142">
        <f>Z5/V5</f>
        <v/>
      </c>
      <c r="AF5" s="142">
        <f>T5/S5</f>
        <v/>
      </c>
      <c r="AH5" s="65" t="inlineStr">
        <is>
          <t>SEOD 04/07 - 04/21</t>
        </is>
      </c>
      <c r="AI5" s="65" t="n">
        <v>8</v>
      </c>
      <c r="AJ5" s="65" t="n">
        <v>28</v>
      </c>
      <c r="AL5" s="65" t="inlineStr">
        <is>
          <t>SEOD 04/07 - 04/21</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SEOD 12/02 - 12/16</t>
        </is>
      </c>
      <c r="S6" s="81" t="n">
        <v>39</v>
      </c>
      <c r="T6" s="81">
        <f>S6-(Y6+Z6)</f>
        <v/>
      </c>
      <c r="U6" s="81" t="n">
        <v>8</v>
      </c>
      <c r="V6" s="81" t="n">
        <v>31</v>
      </c>
      <c r="W6" s="81" t="n">
        <v>0</v>
      </c>
      <c r="X6" s="81" t="n">
        <v>0</v>
      </c>
      <c r="Y6" s="81" t="n">
        <v>3</v>
      </c>
      <c r="Z6" s="81" t="n">
        <v>10</v>
      </c>
      <c r="AA6" s="81">
        <f>U6-W6</f>
        <v/>
      </c>
      <c r="AB6" s="142">
        <f>W6/U6</f>
        <v/>
      </c>
      <c r="AC6" s="142">
        <f>X6/V6</f>
        <v/>
      </c>
      <c r="AD6" s="142">
        <f>Y6/U6</f>
        <v/>
      </c>
      <c r="AE6" s="142">
        <f>Z6/V6</f>
        <v/>
      </c>
      <c r="AF6" s="142">
        <f>T6/S6</f>
        <v/>
      </c>
      <c r="AH6" s="65" t="inlineStr">
        <is>
          <t>SEOD 04/21 - 05/05</t>
        </is>
      </c>
      <c r="AI6" s="65" t="n">
        <v>16</v>
      </c>
      <c r="AJ6" s="65" t="n">
        <v>29</v>
      </c>
      <c r="AL6" s="65" t="inlineStr">
        <is>
          <t>SEOD 04/21 - 05/05</t>
        </is>
      </c>
      <c r="AM6" s="65" t="n">
        <v>0</v>
      </c>
      <c r="AN6" s="65" t="n">
        <v>16</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46174</v>
      </c>
      <c r="O7" s="177" t="n"/>
      <c r="R7" s="81" t="inlineStr">
        <is>
          <t>SEOD 12/16 - 12/30</t>
        </is>
      </c>
      <c r="S7" s="81" t="n">
        <v>38</v>
      </c>
      <c r="T7" s="81">
        <f>S7-(Y7+Z7)</f>
        <v/>
      </c>
      <c r="U7" s="81" t="n">
        <v>9</v>
      </c>
      <c r="V7" s="81" t="n">
        <v>29</v>
      </c>
      <c r="W7" s="81" t="n">
        <v>0</v>
      </c>
      <c r="X7" s="81" t="n">
        <v>0</v>
      </c>
      <c r="Y7" s="81" t="n">
        <v>0</v>
      </c>
      <c r="Z7" s="81" t="n">
        <v>13</v>
      </c>
      <c r="AA7" s="81">
        <f>U7-W7</f>
        <v/>
      </c>
      <c r="AB7" s="142">
        <f>W7/U7</f>
        <v/>
      </c>
      <c r="AC7" s="142">
        <f>X7/V7</f>
        <v/>
      </c>
      <c r="AD7" s="142">
        <f>Y7/U7</f>
        <v/>
      </c>
      <c r="AE7" s="142">
        <f>Z7/V7</f>
        <v/>
      </c>
      <c r="AF7" s="142">
        <f>T7/S7</f>
        <v/>
      </c>
      <c r="AH7" s="65" t="inlineStr">
        <is>
          <t>SEOD 05/05 - 05/19</t>
        </is>
      </c>
      <c r="AI7" s="65" t="n">
        <v>11</v>
      </c>
      <c r="AJ7" s="65" t="n">
        <v>29</v>
      </c>
      <c r="AL7" s="65" t="inlineStr">
        <is>
          <t>SEOD 05/05 - 05/19</t>
        </is>
      </c>
      <c r="AM7" s="65" t="n">
        <v>0</v>
      </c>
      <c r="AN7" s="65" t="n">
        <v>11</v>
      </c>
    </row>
    <row r="8" ht="18" customHeight="1">
      <c r="B8" s="175" t="n"/>
      <c r="C8" s="178" t="inlineStr">
        <is>
          <t>Sub Project</t>
        </is>
      </c>
      <c r="D8" s="301" t="inlineStr">
        <is>
          <t>SEOD</t>
        </is>
      </c>
      <c r="F8" s="224" t="n"/>
      <c r="G8" s="224" t="n"/>
      <c r="H8" s="181" t="n"/>
      <c r="I8" s="181" t="n"/>
      <c r="J8" s="182" t="n"/>
      <c r="K8" s="182" t="n"/>
      <c r="L8" s="183" t="n"/>
      <c r="M8" s="183" t="n"/>
      <c r="N8" s="183" t="n"/>
      <c r="O8" s="177" t="n"/>
      <c r="R8" s="81" t="inlineStr">
        <is>
          <t>SEOD 12/30 - 01/13</t>
        </is>
      </c>
      <c r="S8" s="81" t="n">
        <v>44</v>
      </c>
      <c r="T8" s="81">
        <f>S8-(Y8+Z8)</f>
        <v/>
      </c>
      <c r="U8" s="81" t="n">
        <v>10</v>
      </c>
      <c r="V8" s="81" t="n">
        <v>34</v>
      </c>
      <c r="W8" s="81" t="n">
        <v>2</v>
      </c>
      <c r="X8" s="81" t="n">
        <v>5</v>
      </c>
      <c r="Y8" s="81" t="n">
        <v>0</v>
      </c>
      <c r="Z8" s="81" t="n">
        <v>5</v>
      </c>
      <c r="AA8" s="81">
        <f>U8-W8</f>
        <v/>
      </c>
      <c r="AB8" s="142">
        <f>W8/U8</f>
        <v/>
      </c>
      <c r="AC8" s="142">
        <f>X8/V8</f>
        <v/>
      </c>
      <c r="AD8" s="142">
        <f>Y8/U8</f>
        <v/>
      </c>
      <c r="AE8" s="142">
        <f>Z8/V8</f>
        <v/>
      </c>
      <c r="AF8" s="142">
        <f>T8/S8</f>
        <v/>
      </c>
      <c r="AH8" s="65" t="inlineStr">
        <is>
          <t>SEOD 05/19 - 05/31</t>
        </is>
      </c>
      <c r="AI8" s="65" t="n">
        <v>6</v>
      </c>
      <c r="AJ8" s="65" t="n">
        <v>18</v>
      </c>
      <c r="AL8" s="65" t="inlineStr">
        <is>
          <t>SEOD 05/19 - 05/31</t>
        </is>
      </c>
      <c r="AM8" s="65" t="n">
        <v>0</v>
      </c>
      <c r="AN8" s="65" t="n">
        <v>6</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SEOD 01/13 - 01/27</t>
        </is>
      </c>
      <c r="S9" s="81" t="n">
        <v>37</v>
      </c>
      <c r="T9" s="81">
        <f>S9-(Y9+Z9)</f>
        <v/>
      </c>
      <c r="U9" s="81" t="n">
        <v>11</v>
      </c>
      <c r="V9" s="81" t="n">
        <v>26</v>
      </c>
      <c r="W9" s="81" t="n">
        <v>0</v>
      </c>
      <c r="X9" s="81" t="n">
        <v>6</v>
      </c>
      <c r="Y9" s="81" t="n">
        <v>0</v>
      </c>
      <c r="Z9" s="81" t="n">
        <v>6</v>
      </c>
      <c r="AA9" s="81">
        <f>U9-W9</f>
        <v/>
      </c>
      <c r="AB9" s="142">
        <f>W9/U9</f>
        <v/>
      </c>
      <c r="AC9" s="142">
        <f>X9/V9</f>
        <v/>
      </c>
      <c r="AD9" s="142">
        <f>Y9/U9</f>
        <v/>
      </c>
      <c r="AE9" s="142">
        <f>Z9/V9</f>
        <v/>
      </c>
      <c r="AF9" s="142">
        <f>T9/S9</f>
        <v/>
      </c>
      <c r="AH9" s="65" t="inlineStr">
        <is>
          <t>Grand Total</t>
        </is>
      </c>
      <c r="AI9" s="65" t="n">
        <v>62</v>
      </c>
      <c r="AJ9" s="65" t="n">
        <v>140</v>
      </c>
      <c r="AL9" s="65" t="inlineStr">
        <is>
          <t>Grand Total</t>
        </is>
      </c>
      <c r="AM9" s="65" t="n">
        <v>0</v>
      </c>
      <c r="AN9" s="65" t="n">
        <v>62</v>
      </c>
    </row>
    <row r="10" ht="18" customHeight="1">
      <c r="B10" s="175" t="n"/>
      <c r="C10" s="178" t="inlineStr">
        <is>
          <t>Project Manager/Lead</t>
        </is>
      </c>
      <c r="D10" s="301" t="inlineStr">
        <is>
          <t>Himanshu</t>
        </is>
      </c>
      <c r="F10" s="224" t="n"/>
      <c r="G10" s="224" t="n"/>
      <c r="H10" s="176" t="n"/>
      <c r="I10" s="176" t="n"/>
      <c r="J10" s="176" t="n"/>
      <c r="K10" s="176" t="n"/>
      <c r="L10" s="176" t="n"/>
      <c r="M10" s="176" t="n"/>
      <c r="N10" s="176" t="n"/>
      <c r="O10" s="177" t="n"/>
      <c r="R10" s="81" t="inlineStr">
        <is>
          <t>SEOD 01/27 - 02/10</t>
        </is>
      </c>
      <c r="S10" s="81" t="n">
        <v>47</v>
      </c>
      <c r="T10" s="81">
        <f>S10-(Y10+Z10)</f>
        <v/>
      </c>
      <c r="U10" s="81" t="n">
        <v>8</v>
      </c>
      <c r="V10" s="81" t="n">
        <v>39</v>
      </c>
      <c r="W10" s="81" t="n">
        <v>0</v>
      </c>
      <c r="X10" s="81" t="n">
        <v>5</v>
      </c>
      <c r="Y10" s="81" t="n">
        <v>0</v>
      </c>
      <c r="Z10" s="81" t="n">
        <v>8</v>
      </c>
      <c r="AA10" s="81">
        <f>U10-W10</f>
        <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SEOD 02/10 - 02/24</t>
        </is>
      </c>
      <c r="S11" s="81" t="n">
        <v>43</v>
      </c>
      <c r="T11" s="81">
        <f>S11-(Y11+Z11)</f>
        <v/>
      </c>
      <c r="U11" s="81" t="n">
        <v>10</v>
      </c>
      <c r="V11" s="81" t="n">
        <v>33</v>
      </c>
      <c r="W11" s="81" t="n">
        <v>0</v>
      </c>
      <c r="X11" s="81" t="n">
        <v>5</v>
      </c>
      <c r="Y11" s="81" t="n">
        <v>0</v>
      </c>
      <c r="Z11" s="81" t="n">
        <v>9</v>
      </c>
      <c r="AA11" s="81">
        <f>U11-W11</f>
        <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 xml:space="preserve"> SEOD 02/24 - 03/10</t>
        </is>
      </c>
      <c r="S12" s="81" t="n">
        <v>44</v>
      </c>
      <c r="T12" s="81">
        <f>S12-(Y12+Z12)</f>
        <v/>
      </c>
      <c r="U12" s="81" t="n">
        <v>11</v>
      </c>
      <c r="V12" s="81" t="n">
        <v>33</v>
      </c>
      <c r="W12" s="81" t="n">
        <v>0</v>
      </c>
      <c r="X12" s="81" t="n">
        <v>7</v>
      </c>
      <c r="Y12" s="81" t="n">
        <v>0</v>
      </c>
      <c r="Z12" s="81" t="n">
        <v>0</v>
      </c>
      <c r="AA12" s="81">
        <f>U12-W12</f>
        <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SEOD 03/10 - 03/24</t>
        </is>
      </c>
      <c r="S13" s="81" t="n">
        <v>26</v>
      </c>
      <c r="T13" s="81">
        <f>S13-(Y13+Z13)</f>
        <v/>
      </c>
      <c r="U13" s="81" t="n">
        <v>4</v>
      </c>
      <c r="V13" s="81" t="n">
        <v>22</v>
      </c>
      <c r="W13" s="81" t="n">
        <v>0</v>
      </c>
      <c r="X13" s="81" t="n">
        <v>4</v>
      </c>
      <c r="Y13" s="81" t="n">
        <v>0</v>
      </c>
      <c r="Z13" s="81" t="n">
        <v>2</v>
      </c>
      <c r="AA13" s="81">
        <f>U13-W13</f>
        <v/>
      </c>
      <c r="AB13" s="142">
        <f>W13/U13</f>
        <v/>
      </c>
      <c r="AC13" s="142">
        <f>X13/V13</f>
        <v/>
      </c>
      <c r="AD13" s="142">
        <f>Y13/U13</f>
        <v/>
      </c>
      <c r="AE13" s="142">
        <f>Z13/V13</f>
        <v/>
      </c>
      <c r="AF13" s="142">
        <f>T13/S13</f>
        <v/>
      </c>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inlineStr">
        <is>
          <t>SEOD 03/24 - 04/07</t>
        </is>
      </c>
      <c r="S14" s="81" t="n">
        <v>31</v>
      </c>
      <c r="T14" s="81">
        <f>S14-(Y14+Z14)</f>
        <v/>
      </c>
      <c r="U14" s="172" t="n">
        <v>17</v>
      </c>
      <c r="V14" s="172" t="n">
        <v>14</v>
      </c>
      <c r="W14" s="81" t="n">
        <v>0</v>
      </c>
      <c r="X14" s="81" t="n">
        <v>0</v>
      </c>
      <c r="Y14" s="81" t="n">
        <v>0</v>
      </c>
      <c r="Z14" s="81" t="n">
        <v>0</v>
      </c>
      <c r="AA14" s="81">
        <f>U14-W14</f>
        <v/>
      </c>
      <c r="AB14" s="142">
        <f>W14/U14</f>
        <v/>
      </c>
      <c r="AC14" s="142">
        <f>X14/V14</f>
        <v/>
      </c>
      <c r="AD14" s="142">
        <f>Y14/U14</f>
        <v/>
      </c>
      <c r="AE14" s="142">
        <f>Z14/V14</f>
        <v/>
      </c>
      <c r="AF14" s="142">
        <f>T14/S14</f>
        <v/>
      </c>
      <c r="AH14" s="81">
        <f>AH4</f>
        <v/>
      </c>
      <c r="AI14" s="81">
        <f>AI4</f>
        <v/>
      </c>
      <c r="AJ14" s="81">
        <f>AJ4</f>
        <v/>
      </c>
    </row>
    <row r="15" ht="18" customHeight="1">
      <c r="B15" s="175" t="n"/>
      <c r="C15" s="243" t="inlineStr">
        <is>
          <t>On-site team</t>
        </is>
      </c>
      <c r="D15" s="303" t="inlineStr">
        <is>
          <t>Allocated</t>
        </is>
      </c>
      <c r="E15" s="315" t="n"/>
      <c r="F15" s="239" t="inlineStr">
        <is>
          <t xml:space="preserve">         7(5D + 2QA)</t>
        </is>
      </c>
      <c r="G15" s="155" t="n"/>
      <c r="H15" s="155" t="n"/>
      <c r="I15" s="155" t="n"/>
      <c r="J15" s="176" t="n"/>
      <c r="K15" s="176" t="n"/>
      <c r="L15" s="176" t="n"/>
      <c r="M15" s="176" t="n"/>
      <c r="N15" s="176" t="n"/>
      <c r="O15" s="177" t="n"/>
      <c r="R15" s="172" t="inlineStr">
        <is>
          <t>SEOD 04/07 - 04/21</t>
        </is>
      </c>
      <c r="S15" s="81" t="n">
        <v>36</v>
      </c>
      <c r="T15" s="81">
        <f>S15-(Y15+Z15)</f>
        <v/>
      </c>
      <c r="U15" s="172" t="n">
        <v>8</v>
      </c>
      <c r="V15" s="172" t="n">
        <v>28</v>
      </c>
      <c r="W15" s="81" t="n">
        <v>0</v>
      </c>
      <c r="X15" s="81" t="n">
        <v>7</v>
      </c>
      <c r="Y15" s="81" t="n">
        <v>0</v>
      </c>
      <c r="Z15" s="81" t="n">
        <v>6</v>
      </c>
      <c r="AA15" s="81">
        <f>U15-W15</f>
        <v/>
      </c>
      <c r="AB15" s="142">
        <f>W15/U15</f>
        <v/>
      </c>
      <c r="AC15" s="142">
        <f>X15/V15</f>
        <v/>
      </c>
      <c r="AD15" s="142">
        <f>Y15/U15</f>
        <v/>
      </c>
      <c r="AE15" s="142">
        <f>Z15/V15</f>
        <v/>
      </c>
      <c r="AF15" s="142">
        <f>T15/S15</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81" t="inlineStr">
        <is>
          <t>SEOD 04/21 - 05/05</t>
        </is>
      </c>
      <c r="S16" s="81" t="n">
        <v>45</v>
      </c>
      <c r="T16" s="81">
        <f>S16-(Y16+Z16)</f>
        <v/>
      </c>
      <c r="U16" s="81" t="n">
        <v>16</v>
      </c>
      <c r="V16" s="81" t="n">
        <v>29</v>
      </c>
      <c r="W16" s="81" t="n">
        <v>0</v>
      </c>
      <c r="X16" s="81" t="n">
        <v>10</v>
      </c>
      <c r="Y16" s="81" t="n">
        <v>0</v>
      </c>
      <c r="Z16" s="81" t="n">
        <v>0</v>
      </c>
      <c r="AA16" s="81">
        <f>U16-W16</f>
        <v/>
      </c>
      <c r="AB16" s="142">
        <f>W16/U16</f>
        <v/>
      </c>
      <c r="AC16" s="142">
        <f>X16/V16</f>
        <v/>
      </c>
      <c r="AD16" s="142">
        <f>Y16/U16</f>
        <v/>
      </c>
      <c r="AE16" s="142">
        <f>Z16/V16</f>
        <v/>
      </c>
      <c r="AF16" s="142">
        <f>T16/S16</f>
        <v/>
      </c>
      <c r="AH16" s="81">
        <f>AH6</f>
        <v/>
      </c>
      <c r="AI16" s="81">
        <f>AI6</f>
        <v/>
      </c>
      <c r="AJ16" s="81">
        <f>AJ6</f>
        <v/>
      </c>
      <c r="AL16" s="81" t="inlineStr">
        <is>
          <t>Rework</t>
        </is>
      </c>
      <c r="AM16" s="81">
        <f>GETPIVOTDATA("Sum of Rework",$AL$2)</f>
        <v/>
      </c>
    </row>
    <row r="17" ht="18" customHeight="1">
      <c r="R17" s="81" t="inlineStr">
        <is>
          <t>SEOD 05/05 - 05/19</t>
        </is>
      </c>
      <c r="S17" s="81" t="n">
        <v>40</v>
      </c>
      <c r="T17" s="81">
        <f>S17-(Y17+Z17)</f>
        <v/>
      </c>
      <c r="U17" s="81" t="n">
        <v>11</v>
      </c>
      <c r="V17" s="81" t="n">
        <v>29</v>
      </c>
      <c r="W17" s="81" t="n">
        <v>0</v>
      </c>
      <c r="X17" s="81" t="n">
        <v>11</v>
      </c>
      <c r="Y17" s="81" t="n">
        <v>0</v>
      </c>
      <c r="Z17" s="81" t="n">
        <v>16</v>
      </c>
      <c r="AA17" s="81">
        <f>U17-W17</f>
        <v/>
      </c>
      <c r="AB17" s="142">
        <f>W17/U17</f>
        <v/>
      </c>
      <c r="AC17" s="142">
        <f>X17/V17</f>
        <v/>
      </c>
      <c r="AD17" s="142">
        <f>Y17/U17</f>
        <v/>
      </c>
      <c r="AE17" s="142">
        <f>Z17/V17</f>
        <v/>
      </c>
      <c r="AF17" s="142">
        <f>T17/S17</f>
        <v/>
      </c>
      <c r="AH17" s="81">
        <f>AH7</f>
        <v/>
      </c>
      <c r="AI17" s="81">
        <f>AI7</f>
        <v/>
      </c>
      <c r="AJ17" s="81">
        <f>AJ7</f>
        <v/>
      </c>
    </row>
    <row r="18" ht="18" customHeight="1">
      <c r="R18" s="81" t="inlineStr">
        <is>
          <t>SEOD 05/19 - 05/31</t>
        </is>
      </c>
      <c r="S18" s="81" t="n">
        <v>24</v>
      </c>
      <c r="T18" s="81">
        <f>S18-(Y18+Z18)</f>
        <v/>
      </c>
      <c r="U18" s="81" t="n">
        <v>6</v>
      </c>
      <c r="V18" s="81" t="n">
        <v>18</v>
      </c>
      <c r="W18" s="81" t="n">
        <v>0</v>
      </c>
      <c r="X18" s="81" t="n">
        <v>0</v>
      </c>
      <c r="Y18" s="81" t="n">
        <v>0</v>
      </c>
      <c r="Z18" s="81" t="n">
        <v>0</v>
      </c>
      <c r="AA18" s="81">
        <f>U18-W18</f>
        <v/>
      </c>
      <c r="AB18" s="142">
        <f>W18/U18</f>
        <v/>
      </c>
      <c r="AC18" s="142">
        <f>X18/V18</f>
        <v/>
      </c>
      <c r="AD18" s="142">
        <f>Y18/U18</f>
        <v/>
      </c>
      <c r="AE18" s="142">
        <f>Z18/V18</f>
        <v/>
      </c>
      <c r="AF18" s="142">
        <f>T18/S18</f>
        <v/>
      </c>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SEOD 03/10 - 03/24</t>
        </is>
      </c>
      <c r="AI22" s="65" t="n">
        <v>0.1818181818181818</v>
      </c>
      <c r="AJ22" s="65" t="n">
        <v>0</v>
      </c>
      <c r="AM22" s="65" t="inlineStr">
        <is>
          <t>SEOD 03/10 - 03/24</t>
        </is>
      </c>
      <c r="AN22" s="65" t="n">
        <v>0</v>
      </c>
      <c r="AO22" s="65" t="n">
        <v>0.09090909090909091</v>
      </c>
    </row>
    <row r="23" ht="18" customHeight="1">
      <c r="AB23" s="142" t="n"/>
      <c r="AC23" s="142" t="n"/>
      <c r="AD23" s="142" t="n"/>
      <c r="AE23" s="142" t="n"/>
      <c r="AF23" s="142" t="n"/>
      <c r="AH23" s="65" t="inlineStr">
        <is>
          <t>SEOD 03/24 - 04/07</t>
        </is>
      </c>
      <c r="AI23" s="65" t="n">
        <v>0</v>
      </c>
      <c r="AJ23" s="65" t="n">
        <v>0</v>
      </c>
      <c r="AM23" s="65" t="inlineStr">
        <is>
          <t>SEOD 03/24 - 04/07</t>
        </is>
      </c>
      <c r="AN23" s="65" t="n">
        <v>0</v>
      </c>
      <c r="AO23" s="65" t="n">
        <v>0</v>
      </c>
    </row>
    <row r="24" ht="18" customHeight="1">
      <c r="AB24" s="142" t="n"/>
      <c r="AC24" s="142" t="n"/>
      <c r="AD24" s="142" t="n"/>
      <c r="AE24" s="142" t="n"/>
      <c r="AF24" s="142" t="n"/>
      <c r="AH24" s="65" t="inlineStr">
        <is>
          <t>SEOD 04/07 - 04/21</t>
        </is>
      </c>
      <c r="AI24" s="65" t="n">
        <v>0.25</v>
      </c>
      <c r="AJ24" s="65" t="n">
        <v>0</v>
      </c>
      <c r="AM24" s="65" t="inlineStr">
        <is>
          <t>SEOD 04/07 - 04/21</t>
        </is>
      </c>
      <c r="AN24" s="65" t="n">
        <v>0</v>
      </c>
      <c r="AO24" s="65" t="n">
        <v>0.2142857142857143</v>
      </c>
    </row>
    <row r="25" ht="18" customHeight="1">
      <c r="AB25" s="142" t="n"/>
      <c r="AC25" s="142" t="n"/>
      <c r="AD25" s="142" t="n"/>
      <c r="AE25" s="142" t="n"/>
      <c r="AF25" s="142" t="n"/>
      <c r="AH25" s="65" t="inlineStr">
        <is>
          <t>SEOD 04/21 - 05/05</t>
        </is>
      </c>
      <c r="AI25" s="65" t="n">
        <v>0.3448275862068966</v>
      </c>
      <c r="AJ25" s="65" t="n">
        <v>0</v>
      </c>
      <c r="AM25" s="65" t="inlineStr">
        <is>
          <t>SEOD 04/21 - 05/05</t>
        </is>
      </c>
      <c r="AN25" s="65" t="n">
        <v>0</v>
      </c>
      <c r="AO25" s="65" t="n">
        <v>0</v>
      </c>
    </row>
    <row r="26" ht="18" customHeight="1">
      <c r="AB26" s="142" t="n"/>
      <c r="AC26" s="142" t="n"/>
      <c r="AD26" s="142" t="n"/>
      <c r="AE26" s="142" t="n"/>
      <c r="AF26" s="142" t="n"/>
      <c r="AH26" s="65" t="inlineStr">
        <is>
          <t>SEOD 05/05 - 05/19</t>
        </is>
      </c>
      <c r="AI26" s="65" t="n">
        <v>0.3793103448275862</v>
      </c>
      <c r="AJ26" s="65" t="n">
        <v>0</v>
      </c>
      <c r="AM26" s="65" t="inlineStr">
        <is>
          <t>SEOD 05/05 - 05/19</t>
        </is>
      </c>
      <c r="AN26" s="65" t="n">
        <v>0</v>
      </c>
      <c r="AO26" s="65" t="n">
        <v>0.5517241379310345</v>
      </c>
    </row>
    <row r="27" ht="18" customHeight="1">
      <c r="AB27" s="142" t="n"/>
      <c r="AC27" s="142" t="n"/>
      <c r="AD27" s="142" t="n"/>
      <c r="AE27" s="142" t="n"/>
      <c r="AF27" s="142" t="n"/>
      <c r="AH27" s="65" t="inlineStr">
        <is>
          <t>SEOD 05/19 - 05/31</t>
        </is>
      </c>
      <c r="AI27" s="65" t="n">
        <v>0</v>
      </c>
      <c r="AJ27" s="65" t="n">
        <v>0</v>
      </c>
      <c r="AM27" s="65" t="inlineStr">
        <is>
          <t>SEOD 05/19 - 05/31</t>
        </is>
      </c>
      <c r="AN27" s="65" t="n">
        <v>0</v>
      </c>
      <c r="AO27" s="65" t="n">
        <v>0</v>
      </c>
    </row>
    <row r="28" ht="18" customHeight="1">
      <c r="AB28" s="142" t="n"/>
      <c r="AC28" s="142" t="n"/>
      <c r="AD28" s="142" t="n"/>
      <c r="AE28" s="142" t="n"/>
      <c r="AF28" s="142" t="n"/>
      <c r="AH28" s="65" t="inlineStr">
        <is>
          <t>Grand Total</t>
        </is>
      </c>
      <c r="AI28" s="65" t="n">
        <v>1.155956112852665</v>
      </c>
      <c r="AJ28" s="65" t="n">
        <v>0</v>
      </c>
      <c r="AM28" s="65" t="inlineStr">
        <is>
          <t>Grand Total</t>
        </is>
      </c>
      <c r="AN28" s="65" t="n">
        <v>0</v>
      </c>
      <c r="AO28" s="65" t="n">
        <v>0.8569189431258397</v>
      </c>
    </row>
    <row r="29" ht="18" customHeight="1">
      <c r="R29" s="275" t="n"/>
      <c r="AB29" s="142" t="n"/>
      <c r="AC29" s="142" t="n"/>
      <c r="AD29" s="142" t="n"/>
      <c r="AE29" s="142" t="n"/>
      <c r="AF29" s="142" t="n"/>
    </row>
    <row r="30" ht="18" customHeight="1">
      <c r="R30" s="263" t="n"/>
      <c r="AB30" s="142" t="n"/>
      <c r="AC30" s="142" t="n"/>
      <c r="AD30" s="142" t="n"/>
      <c r="AE30" s="142" t="n"/>
      <c r="AF30" s="142" t="n"/>
    </row>
    <row r="31" ht="18" customHeight="1">
      <c r="R31" s="276"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SEOD 03/10 - 03/24</t>
        </is>
      </c>
      <c r="AM47" s="65" t="n">
        <v>0.9230769230769231</v>
      </c>
    </row>
    <row r="48" ht="18" customHeight="1">
      <c r="AB48" s="142" t="n"/>
      <c r="AC48" s="142" t="n"/>
      <c r="AD48" s="142" t="n"/>
      <c r="AE48" s="142" t="n"/>
      <c r="AF48" s="142" t="n"/>
      <c r="AH48" s="264" t="inlineStr">
        <is>
          <t>Sprint</t>
        </is>
      </c>
      <c r="AI48" s="81" t="inlineStr">
        <is>
          <t>V2</t>
        </is>
      </c>
      <c r="AJ48" s="81" t="inlineStr">
        <is>
          <t>LT</t>
        </is>
      </c>
      <c r="AL48" s="65" t="inlineStr">
        <is>
          <t>SEOD 03/24 - 04/07</t>
        </is>
      </c>
      <c r="AM48" s="65" t="n">
        <v>1</v>
      </c>
    </row>
    <row r="49" ht="18" customHeight="1">
      <c r="AB49" s="142" t="n"/>
      <c r="AC49" s="142" t="n"/>
      <c r="AD49" s="142" t="n"/>
      <c r="AE49" s="142" t="n"/>
      <c r="AF49" s="142" t="n"/>
      <c r="AH49" s="65" t="inlineStr">
        <is>
          <t>SEOD 03/10 - 03/24</t>
        </is>
      </c>
      <c r="AI49" s="81" t="n">
        <v>0</v>
      </c>
      <c r="AJ49" s="81" t="n">
        <v>4</v>
      </c>
      <c r="AL49" s="65" t="inlineStr">
        <is>
          <t>SEOD 04/07 - 04/21</t>
        </is>
      </c>
      <c r="AM49" s="65" t="n">
        <v>0.8333333333333334</v>
      </c>
    </row>
    <row r="50" ht="18" customHeight="1">
      <c r="AB50" s="142" t="n"/>
      <c r="AC50" s="142" t="n"/>
      <c r="AD50" s="142" t="n"/>
      <c r="AE50" s="142" t="n"/>
      <c r="AF50" s="142" t="n"/>
      <c r="AH50" s="65" t="inlineStr">
        <is>
          <t>SEOD 03/24 - 04/07</t>
        </is>
      </c>
      <c r="AI50" s="81" t="n">
        <v>0</v>
      </c>
      <c r="AJ50" s="81" t="n">
        <v>0</v>
      </c>
      <c r="AL50" s="65" t="inlineStr">
        <is>
          <t>SEOD 04/21 - 05/05</t>
        </is>
      </c>
      <c r="AM50" s="65" t="n">
        <v>1</v>
      </c>
    </row>
    <row r="51" ht="18" customHeight="1">
      <c r="AB51" s="142" t="n"/>
      <c r="AC51" s="142" t="n"/>
      <c r="AD51" s="142" t="n"/>
      <c r="AE51" s="142" t="n"/>
      <c r="AF51" s="142" t="n"/>
      <c r="AH51" s="65" t="inlineStr">
        <is>
          <t>SEOD 04/07 - 04/21</t>
        </is>
      </c>
      <c r="AI51" s="81" t="n">
        <v>0</v>
      </c>
      <c r="AJ51" s="81" t="n">
        <v>7</v>
      </c>
      <c r="AL51" s="65" t="inlineStr">
        <is>
          <t>SEOD 05/05 - 05/19</t>
        </is>
      </c>
      <c r="AM51" s="65" t="n">
        <v>0.6</v>
      </c>
    </row>
    <row r="52" ht="18" customHeight="1">
      <c r="AB52" s="142" t="n"/>
      <c r="AC52" s="142" t="n"/>
      <c r="AD52" s="142" t="n"/>
      <c r="AE52" s="142" t="n"/>
      <c r="AF52" s="142" t="n"/>
      <c r="AH52" s="65" t="inlineStr">
        <is>
          <t>SEOD 04/21 - 05/05</t>
        </is>
      </c>
      <c r="AI52" s="81" t="n">
        <v>0</v>
      </c>
      <c r="AJ52" s="81" t="n">
        <v>10</v>
      </c>
      <c r="AL52" s="65" t="inlineStr">
        <is>
          <t>SEOD 05/19 - 05/31</t>
        </is>
      </c>
      <c r="AM52" s="65" t="n">
        <v>1</v>
      </c>
    </row>
    <row r="53" ht="18" customHeight="1">
      <c r="AB53" s="142" t="n"/>
      <c r="AC53" s="142" t="n"/>
      <c r="AD53" s="142" t="n"/>
      <c r="AE53" s="142" t="n"/>
      <c r="AF53" s="142" t="n"/>
      <c r="AH53" s="65" t="inlineStr">
        <is>
          <t>SEOD 05/05 - 05/19</t>
        </is>
      </c>
      <c r="AI53" s="81" t="n">
        <v>0</v>
      </c>
      <c r="AJ53" s="81" t="n">
        <v>11</v>
      </c>
      <c r="AL53" s="65" t="inlineStr">
        <is>
          <t>Grand Total</t>
        </is>
      </c>
      <c r="AM53" s="65" t="n">
        <v>5.356410256410256</v>
      </c>
    </row>
    <row r="54" ht="18" customHeight="1">
      <c r="AB54" s="142" t="n"/>
      <c r="AC54" s="142" t="n"/>
      <c r="AD54" s="142" t="n"/>
      <c r="AE54" s="142" t="n"/>
      <c r="AF54" s="142" t="n"/>
      <c r="AH54" s="65" t="inlineStr">
        <is>
          <t>SEOD 05/19 - 05/31</t>
        </is>
      </c>
      <c r="AI54" s="81" t="n">
        <v>0</v>
      </c>
      <c r="AJ54" s="81" t="n">
        <v>0</v>
      </c>
    </row>
    <row r="55" ht="18" customHeight="1">
      <c r="AB55" s="142" t="n"/>
      <c r="AC55" s="142" t="n"/>
      <c r="AD55" s="142" t="n"/>
      <c r="AE55" s="142" t="n"/>
      <c r="AF55" s="142" t="n"/>
      <c r="AH55" s="81" t="n"/>
      <c r="AI55" s="142" t="n"/>
      <c r="AJ55" s="142" t="n"/>
    </row>
    <row r="56" ht="18" customHeight="1">
      <c r="AB56" s="142" t="n"/>
      <c r="AC56" s="142" t="n"/>
      <c r="AD56" s="142" t="n"/>
      <c r="AE56" s="142" t="n"/>
      <c r="AF56" s="142" t="n"/>
      <c r="AH56" s="81" t="n"/>
      <c r="AI56" s="142" t="n"/>
      <c r="AJ56" s="142" t="n"/>
    </row>
    <row r="57" ht="18" customHeight="1">
      <c r="AB57" s="142" t="n"/>
      <c r="AC57" s="142" t="n"/>
      <c r="AD57" s="142" t="n"/>
      <c r="AE57" s="142" t="n"/>
      <c r="AF57" s="142" t="n"/>
      <c r="AH57" s="81" t="n"/>
      <c r="AI57" s="142" t="n"/>
      <c r="AJ57" s="142" t="n"/>
      <c r="AL57" s="173" t="inlineStr">
        <is>
          <t>Sprint</t>
        </is>
      </c>
      <c r="AM57" s="121" t="inlineStr">
        <is>
          <t>Planned Vs Completed ratio</t>
        </is>
      </c>
    </row>
    <row r="58" ht="18" customHeight="1">
      <c r="AB58" s="142" t="n"/>
      <c r="AC58" s="142" t="n"/>
      <c r="AD58" s="142" t="n"/>
      <c r="AE58" s="142" t="n"/>
      <c r="AF58" s="142" t="n"/>
      <c r="AH58" s="81" t="n"/>
      <c r="AI58" s="142" t="n"/>
      <c r="AJ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264" t="inlineStr">
        <is>
          <t>Sprint</t>
        </is>
      </c>
      <c r="AI61" s="81" t="inlineStr">
        <is>
          <t>V2</t>
        </is>
      </c>
      <c r="AJ61" s="81" t="inlineStr">
        <is>
          <t>LT</t>
        </is>
      </c>
      <c r="AL61" s="81">
        <f>AL50</f>
        <v/>
      </c>
      <c r="AM61" s="142">
        <f>AM50</f>
        <v/>
      </c>
    </row>
    <row r="62" ht="18" customHeight="1">
      <c r="AB62" s="142" t="n"/>
      <c r="AC62" s="142" t="n"/>
      <c r="AD62" s="142" t="n"/>
      <c r="AE62" s="142" t="n"/>
      <c r="AF62" s="142" t="n"/>
      <c r="AH62" s="65" t="inlineStr">
        <is>
          <t>SEOD 03/10 - 03/24</t>
        </is>
      </c>
      <c r="AI62" s="81" t="n">
        <v>4</v>
      </c>
      <c r="AJ62" s="81" t="n">
        <v>22</v>
      </c>
      <c r="AL62" s="81">
        <f>AL51</f>
        <v/>
      </c>
      <c r="AM62" s="142">
        <f>AM51</f>
        <v/>
      </c>
    </row>
    <row r="63" ht="18" customHeight="1">
      <c r="AB63" s="142" t="n"/>
      <c r="AC63" s="142" t="n"/>
      <c r="AD63" s="142" t="n"/>
      <c r="AE63" s="142" t="n"/>
      <c r="AF63" s="142" t="n"/>
      <c r="AH63" s="65" t="inlineStr">
        <is>
          <t>SEOD 03/24 - 04/07</t>
        </is>
      </c>
      <c r="AI63" s="172" t="n">
        <v>17</v>
      </c>
      <c r="AJ63" s="172" t="n">
        <v>14</v>
      </c>
      <c r="AL63" s="81">
        <f>AL52</f>
        <v/>
      </c>
      <c r="AM63" s="142">
        <f>AM52</f>
        <v/>
      </c>
    </row>
    <row r="64" ht="18" customHeight="1">
      <c r="AB64" s="142" t="n"/>
      <c r="AC64" s="142" t="n"/>
      <c r="AD64" s="142" t="n"/>
      <c r="AE64" s="142" t="n"/>
      <c r="AF64" s="142" t="n"/>
      <c r="AH64" s="65" t="inlineStr">
        <is>
          <t>SEOD 04/07 - 04/21</t>
        </is>
      </c>
      <c r="AI64" s="172" t="n">
        <v>8</v>
      </c>
      <c r="AJ64" s="172" t="n">
        <v>28</v>
      </c>
      <c r="AL64" s="81">
        <f>AL53</f>
        <v/>
      </c>
      <c r="AM64" s="142">
        <f>AM53</f>
        <v/>
      </c>
    </row>
    <row r="65" ht="18" customHeight="1">
      <c r="AB65" s="142" t="n"/>
      <c r="AC65" s="142" t="n"/>
      <c r="AD65" s="142" t="n"/>
      <c r="AE65" s="142" t="n"/>
      <c r="AF65" s="142" t="n"/>
      <c r="AH65" s="65" t="inlineStr">
        <is>
          <t>SEOD 04/21 - 05/05</t>
        </is>
      </c>
      <c r="AI65" s="81" t="n">
        <v>16</v>
      </c>
      <c r="AJ65" s="81" t="n">
        <v>29</v>
      </c>
      <c r="AL65" s="81">
        <f>AL54</f>
        <v/>
      </c>
      <c r="AM65" s="81">
        <f>AM54</f>
        <v/>
      </c>
    </row>
    <row r="66" ht="18" customHeight="1">
      <c r="AB66" s="142" t="n"/>
      <c r="AC66" s="142" t="n"/>
      <c r="AD66" s="142" t="n"/>
      <c r="AE66" s="142" t="n"/>
      <c r="AF66" s="142" t="n"/>
      <c r="AH66" s="65" t="inlineStr">
        <is>
          <t>SEOD 05/05 - 05/19</t>
        </is>
      </c>
      <c r="AI66" s="81" t="n">
        <v>11</v>
      </c>
      <c r="AJ66" s="81" t="n">
        <v>29</v>
      </c>
    </row>
    <row r="67" ht="18" customHeight="1">
      <c r="AB67" s="142" t="n"/>
      <c r="AC67" s="142" t="n"/>
      <c r="AD67" s="142" t="n"/>
      <c r="AE67" s="142" t="n"/>
      <c r="AF67" s="142" t="n"/>
      <c r="AH67" s="65" t="inlineStr">
        <is>
          <t>SEOD 05/19 - 05/31</t>
        </is>
      </c>
      <c r="AI67" s="81" t="n">
        <v>6</v>
      </c>
      <c r="AJ67" s="81" t="n">
        <v>18</v>
      </c>
    </row>
    <row r="68" ht="18" customHeight="1">
      <c r="AB68" s="142" t="n"/>
      <c r="AC68" s="142" t="n"/>
      <c r="AD68" s="142" t="n"/>
      <c r="AE68" s="142" t="n"/>
      <c r="AF68" s="142" t="n"/>
      <c r="AH68" s="81" t="n"/>
      <c r="AI68" s="81" t="n"/>
      <c r="AJ68" s="81" t="n"/>
    </row>
    <row r="69" ht="18" customHeight="1">
      <c r="AB69" s="142" t="n"/>
      <c r="AC69" s="142" t="n"/>
      <c r="AD69" s="142" t="n"/>
      <c r="AE69" s="142" t="n"/>
      <c r="AF69" s="142" t="n"/>
    </row>
    <row r="70" ht="18" customHeight="1">
      <c r="AB70" s="142" t="n"/>
      <c r="AC70" s="142" t="n"/>
      <c r="AD70" s="142" t="n"/>
      <c r="AE70" s="142" t="n"/>
      <c r="AF70" s="142" t="n"/>
      <c r="AH70" s="264" t="inlineStr">
        <is>
          <t>Sprint</t>
        </is>
      </c>
      <c r="AI70" s="81" t="inlineStr">
        <is>
          <t>V2</t>
        </is>
      </c>
      <c r="AJ70" s="81" t="inlineStr">
        <is>
          <t>LT</t>
        </is>
      </c>
    </row>
    <row r="71" ht="18" customHeight="1">
      <c r="AB71" s="142" t="n"/>
      <c r="AC71" s="142" t="n"/>
      <c r="AD71" s="142" t="n"/>
      <c r="AE71" s="142" t="n"/>
      <c r="AF71" s="142" t="n"/>
      <c r="AH71" s="65" t="inlineStr">
        <is>
          <t>SEOD 03/10 - 03/24</t>
        </is>
      </c>
      <c r="AI71" s="81" t="n">
        <v>0</v>
      </c>
      <c r="AJ71" s="81" t="n">
        <v>2</v>
      </c>
    </row>
    <row r="72" ht="18" customHeight="1">
      <c r="AB72" s="142" t="n"/>
      <c r="AC72" s="142" t="n"/>
      <c r="AD72" s="142" t="n"/>
      <c r="AE72" s="142" t="n"/>
      <c r="AF72" s="142" t="n"/>
      <c r="AH72" s="65" t="inlineStr">
        <is>
          <t>SEOD 03/24 - 04/07</t>
        </is>
      </c>
      <c r="AI72" s="81" t="n">
        <v>0</v>
      </c>
      <c r="AJ72" s="81" t="n">
        <v>0</v>
      </c>
    </row>
    <row r="73" ht="18" customHeight="1">
      <c r="AB73" s="142" t="n"/>
      <c r="AC73" s="142" t="n"/>
      <c r="AD73" s="142" t="n"/>
      <c r="AE73" s="142" t="n"/>
      <c r="AF73" s="142" t="n"/>
      <c r="AH73" s="65" t="inlineStr">
        <is>
          <t>SEOD 04/07 - 04/21</t>
        </is>
      </c>
      <c r="AI73" s="81" t="n">
        <v>0</v>
      </c>
      <c r="AJ73" s="81" t="n">
        <v>6</v>
      </c>
    </row>
    <row r="74" ht="18" customHeight="1">
      <c r="AB74" s="142" t="n"/>
      <c r="AC74" s="142" t="n"/>
      <c r="AD74" s="142" t="n"/>
      <c r="AE74" s="142" t="n"/>
      <c r="AF74" s="142" t="n"/>
      <c r="AH74" s="65" t="inlineStr">
        <is>
          <t>SEOD 04/21 - 05/05</t>
        </is>
      </c>
      <c r="AI74" s="81" t="n">
        <v>0</v>
      </c>
      <c r="AJ74" s="81" t="n">
        <v>0</v>
      </c>
    </row>
    <row r="75" ht="18" customHeight="1">
      <c r="AH75" s="65" t="inlineStr">
        <is>
          <t>SEOD 05/05 - 05/19</t>
        </is>
      </c>
      <c r="AI75" s="81" t="n">
        <v>0</v>
      </c>
      <c r="AJ75" s="81" t="n">
        <v>16</v>
      </c>
    </row>
    <row r="76" ht="18" customHeight="1">
      <c r="AH76" s="65" t="inlineStr">
        <is>
          <t>SEOD 05/19 - 05/31</t>
        </is>
      </c>
      <c r="AI76" s="81" t="n">
        <v>0</v>
      </c>
      <c r="AJ76" s="81" t="n">
        <v>0</v>
      </c>
    </row>
    <row r="77" ht="18" customHeight="1">
      <c r="AH77" s="81" t="n"/>
      <c r="AI77" s="142" t="n"/>
      <c r="AJ77" s="142" t="n"/>
    </row>
    <row r="78" ht="18" customHeight="1">
      <c r="AH78" s="81" t="n"/>
      <c r="AI78" s="142" t="n"/>
      <c r="AJ78" s="142" t="n"/>
    </row>
    <row r="79" ht="18" customHeight="1">
      <c r="AH79" s="81" t="n"/>
      <c r="AI79" s="142" t="n"/>
      <c r="AJ79" s="142" t="n"/>
    </row>
    <row r="80" ht="18" customHeight="1">
      <c r="AH80" s="81" t="n"/>
      <c r="AI80" s="142" t="n"/>
      <c r="AJ80"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20" activePane="bottomLeft" state="frozen"/>
      <selection pane="bottomLeft" activeCell="N8" sqref="N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85546875" bestFit="1" customWidth="1" style="65" min="34" max="34"/>
    <col width="28" bestFit="1" customWidth="1" style="65" min="35" max="35"/>
    <col width="28.140625" bestFit="1" customWidth="1" style="65" min="36" max="36"/>
    <col width="9.140625" customWidth="1" style="65" min="37" max="37"/>
    <col width="17.8554687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 09/25 - 10/09</t>
        </is>
      </c>
      <c r="S2" s="81" t="n">
        <v>39</v>
      </c>
      <c r="T2" s="81" t="n">
        <v>32</v>
      </c>
      <c r="U2" s="81" t="n">
        <v>10</v>
      </c>
      <c r="V2" s="81" t="n">
        <v>22</v>
      </c>
      <c r="W2" s="81" t="n">
        <v>2</v>
      </c>
      <c r="X2" s="81" t="n">
        <v>9</v>
      </c>
      <c r="Y2" s="81" t="n">
        <v>0</v>
      </c>
      <c r="Z2" s="81" t="n">
        <v>7</v>
      </c>
      <c r="AA2" s="81" t="n">
        <v>10</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 10/09 - 10/23</t>
        </is>
      </c>
      <c r="S3" s="81" t="n">
        <v>30</v>
      </c>
      <c r="T3" s="81" t="n">
        <v>22</v>
      </c>
      <c r="U3" s="81" t="n">
        <v>2</v>
      </c>
      <c r="V3" s="81" t="n">
        <v>20</v>
      </c>
      <c r="W3" s="81" t="n">
        <v>0</v>
      </c>
      <c r="X3" s="81" t="n">
        <v>5</v>
      </c>
      <c r="Y3" s="81" t="n">
        <v>3</v>
      </c>
      <c r="Z3" s="81" t="n">
        <v>5</v>
      </c>
      <c r="AA3" s="81" t="n">
        <v>2</v>
      </c>
      <c r="AB3" s="142">
        <f>IF(U3,W3/U3,0)</f>
        <v/>
      </c>
      <c r="AC3" s="142">
        <f>IF(V3,X3/V3,0)</f>
        <v/>
      </c>
      <c r="AD3" s="142">
        <f>IF(U3,Y3/U3,0)</f>
        <v/>
      </c>
      <c r="AE3" s="142">
        <f>IF(V3,Z3/V3,0)</f>
        <v/>
      </c>
      <c r="AF3" s="142">
        <f>IF(S3,T3/S3,0)</f>
        <v/>
      </c>
      <c r="AH3" s="65" t="inlineStr">
        <is>
          <t>WPM 02/26 - 03/12</t>
        </is>
      </c>
      <c r="AI3" s="65" t="n">
        <v>6</v>
      </c>
      <c r="AJ3" s="65" t="n">
        <v>35</v>
      </c>
      <c r="AL3" s="65" t="inlineStr">
        <is>
          <t>WPM 02/26 - 03/12</t>
        </is>
      </c>
      <c r="AM3" s="65" t="n">
        <v>1</v>
      </c>
      <c r="AN3" s="65" t="n">
        <v>6</v>
      </c>
      <c r="AT3" s="65" t="inlineStr">
        <is>
          <t>Red</t>
        </is>
      </c>
    </row>
    <row r="4" ht="18" customHeight="1">
      <c r="B4" s="17" t="n"/>
      <c r="O4" s="10" t="n"/>
      <c r="R4" s="81" t="inlineStr">
        <is>
          <t>WPM 10/23 - 11/06</t>
        </is>
      </c>
      <c r="S4" s="81" t="n">
        <v>42</v>
      </c>
      <c r="T4" s="81" t="n">
        <v>28</v>
      </c>
      <c r="U4" s="81" t="n">
        <v>7</v>
      </c>
      <c r="V4" s="81" t="n">
        <v>21</v>
      </c>
      <c r="W4" s="81" t="n">
        <v>0</v>
      </c>
      <c r="X4" s="81" t="n">
        <v>5</v>
      </c>
      <c r="Y4" s="81" t="n">
        <v>0</v>
      </c>
      <c r="Z4" s="81" t="n">
        <v>14</v>
      </c>
      <c r="AA4" s="81" t="n">
        <v>7</v>
      </c>
      <c r="AB4" s="142">
        <f>IF(U4,W4/U4,0)</f>
        <v/>
      </c>
      <c r="AC4" s="142">
        <f>IF(V4,X4/V4,0)</f>
        <v/>
      </c>
      <c r="AD4" s="142">
        <f>IF(U4,Y4/U4,0)</f>
        <v/>
      </c>
      <c r="AE4" s="142">
        <f>IF(V4,Z4/V4,0)</f>
        <v/>
      </c>
      <c r="AF4" s="142">
        <f>IF(S4,T4/S4,0)</f>
        <v/>
      </c>
      <c r="AH4" s="65" t="inlineStr">
        <is>
          <t>WPM 03/12 - 03/26</t>
        </is>
      </c>
      <c r="AI4" s="65" t="n">
        <v>15</v>
      </c>
      <c r="AJ4" s="65" t="n">
        <v>43</v>
      </c>
      <c r="AL4" s="65" t="inlineStr">
        <is>
          <t>WPM 03/12 - 03/26</t>
        </is>
      </c>
      <c r="AM4" s="65" t="n">
        <v>0</v>
      </c>
      <c r="AN4" s="65" t="n">
        <v>15</v>
      </c>
      <c r="AT4" s="65" t="inlineStr">
        <is>
          <t>Amber</t>
        </is>
      </c>
    </row>
    <row r="5" ht="18" customHeight="1">
      <c r="B5" s="17" t="n"/>
      <c r="O5" s="10" t="n"/>
      <c r="R5" s="81" t="inlineStr">
        <is>
          <t>WPM 11/06 - 11/20</t>
        </is>
      </c>
      <c r="S5" s="81" t="n">
        <v>36</v>
      </c>
      <c r="T5" s="81" t="n">
        <v>33</v>
      </c>
      <c r="U5" s="81" t="n">
        <v>5</v>
      </c>
      <c r="V5" s="81" t="n">
        <v>28</v>
      </c>
      <c r="W5" s="81" t="n">
        <v>2</v>
      </c>
      <c r="X5" s="81" t="n">
        <v>13</v>
      </c>
      <c r="Y5" s="81" t="n">
        <v>0</v>
      </c>
      <c r="Z5" s="81" t="n">
        <v>3</v>
      </c>
      <c r="AA5" s="81" t="n">
        <v>5</v>
      </c>
      <c r="AB5" s="142">
        <f>IF(U5,W5/U5,0)</f>
        <v/>
      </c>
      <c r="AC5" s="142">
        <f>IF(V5,X5/V5,0)</f>
        <v/>
      </c>
      <c r="AD5" s="142">
        <f>IF(U5,Y5/U5,0)</f>
        <v/>
      </c>
      <c r="AE5" s="142">
        <f>IF(V5,Z5/V5,0)</f>
        <v/>
      </c>
      <c r="AF5" s="142">
        <f>IF(S5,T5/S5,0)</f>
        <v/>
      </c>
      <c r="AH5" s="65" t="inlineStr">
        <is>
          <t>WPM 03/26 - 04/09</t>
        </is>
      </c>
      <c r="AI5" s="65" t="n">
        <v>8</v>
      </c>
      <c r="AJ5" s="65" t="n">
        <v>21</v>
      </c>
      <c r="AL5" s="65" t="inlineStr">
        <is>
          <t>WPM 03/26 - 04/09</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WPM 11/20 - 12/04</t>
        </is>
      </c>
      <c r="S6" s="81" t="n">
        <v>29</v>
      </c>
      <c r="T6" s="81" t="n">
        <v>21</v>
      </c>
      <c r="U6" s="81" t="n">
        <v>5</v>
      </c>
      <c r="V6" s="81" t="n">
        <v>16</v>
      </c>
      <c r="W6" s="81" t="n">
        <v>0</v>
      </c>
      <c r="X6" s="81" t="n">
        <v>5</v>
      </c>
      <c r="Y6" s="81" t="n">
        <v>0</v>
      </c>
      <c r="Z6" s="81" t="n">
        <v>8</v>
      </c>
      <c r="AA6" s="81" t="n">
        <v>5</v>
      </c>
      <c r="AB6" s="142">
        <f>IF(U6,W6/U6,0)</f>
        <v/>
      </c>
      <c r="AC6" s="142">
        <f>IF(V6,X6/V6,0)</f>
        <v/>
      </c>
      <c r="AD6" s="142">
        <f>IF(U6,Y6/U6,0)</f>
        <v/>
      </c>
      <c r="AE6" s="142">
        <f>IF(V6,Z6/V6,0)</f>
        <v/>
      </c>
      <c r="AF6" s="142">
        <f>IF(S6,T6/S6,0)</f>
        <v/>
      </c>
      <c r="AH6" s="65" t="inlineStr">
        <is>
          <t>WPM 04/09 - 04/23</t>
        </is>
      </c>
      <c r="AI6" s="65" t="n">
        <v>2</v>
      </c>
      <c r="AJ6" s="65" t="n">
        <v>18</v>
      </c>
      <c r="AL6" s="65" t="inlineStr">
        <is>
          <t>WPM 04/09 - 04/23</t>
        </is>
      </c>
      <c r="AM6" s="65" t="n">
        <v>0</v>
      </c>
      <c r="AN6" s="65" t="n">
        <v>2</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46174</v>
      </c>
      <c r="O7" s="177" t="n"/>
      <c r="R7" s="81" t="inlineStr">
        <is>
          <t>WPM 12/04 - 12/18</t>
        </is>
      </c>
      <c r="S7" s="81" t="n">
        <v>51</v>
      </c>
      <c r="T7" s="81" t="n">
        <v>28</v>
      </c>
      <c r="U7" s="81" t="n">
        <v>3</v>
      </c>
      <c r="V7" s="81" t="n">
        <v>21</v>
      </c>
      <c r="W7" s="81" t="n">
        <v>0</v>
      </c>
      <c r="X7" s="81" t="n">
        <v>2</v>
      </c>
      <c r="Y7" s="81" t="n">
        <v>3</v>
      </c>
      <c r="Z7" s="81" t="n">
        <v>20</v>
      </c>
      <c r="AA7" s="81" t="n">
        <v>3</v>
      </c>
      <c r="AB7" s="142">
        <f>IF(U7,W7/U7,0)</f>
        <v/>
      </c>
      <c r="AC7" s="142">
        <f>IF(V7,X7/V7,0)</f>
        <v/>
      </c>
      <c r="AD7" s="142">
        <f>IF(U7,Y7/U7,0)</f>
        <v/>
      </c>
      <c r="AE7" s="142">
        <f>IF(V7,Z7/V7,0)</f>
        <v/>
      </c>
      <c r="AF7" s="142">
        <f>IF(S7,T7/S7,0)</f>
        <v/>
      </c>
      <c r="AH7" s="65" t="inlineStr">
        <is>
          <t>WPM 04/23 - 05/07</t>
        </is>
      </c>
      <c r="AI7" s="65" t="n">
        <v>15</v>
      </c>
      <c r="AJ7" s="65" t="n">
        <v>26</v>
      </c>
      <c r="AL7" s="65" t="inlineStr">
        <is>
          <t>WPM 04/23 - 05/07</t>
        </is>
      </c>
      <c r="AM7" s="65" t="n">
        <v>0</v>
      </c>
      <c r="AN7" s="65" t="n">
        <v>15</v>
      </c>
    </row>
    <row r="8" ht="18" customHeight="1">
      <c r="B8" s="175" t="n"/>
      <c r="C8" s="178" t="inlineStr">
        <is>
          <t>Sub Project</t>
        </is>
      </c>
      <c r="D8" s="301" t="inlineStr">
        <is>
          <t>WordPress Modernization (WPM)</t>
        </is>
      </c>
      <c r="F8" s="224" t="n"/>
      <c r="G8" s="224" t="n"/>
      <c r="H8" s="181" t="n"/>
      <c r="I8" s="181" t="n"/>
      <c r="J8" s="182" t="n"/>
      <c r="K8" s="182" t="n"/>
      <c r="L8" s="183" t="n"/>
      <c r="M8" s="183" t="n"/>
      <c r="N8" s="183" t="n"/>
      <c r="O8" s="177" t="n"/>
      <c r="R8" s="81" t="inlineStr">
        <is>
          <t>WPM 12/18 - 01/15</t>
        </is>
      </c>
      <c r="S8" s="81" t="n">
        <v>53</v>
      </c>
      <c r="T8" s="81" t="n">
        <v>40</v>
      </c>
      <c r="U8" s="81" t="n">
        <v>9</v>
      </c>
      <c r="V8" s="81" t="n">
        <v>31</v>
      </c>
      <c r="W8" s="81" t="n">
        <v>0</v>
      </c>
      <c r="X8" s="81" t="n">
        <v>5</v>
      </c>
      <c r="Y8" s="81" t="n">
        <v>0</v>
      </c>
      <c r="Z8" s="81" t="n">
        <v>13</v>
      </c>
      <c r="AA8" s="81" t="n">
        <v>9</v>
      </c>
      <c r="AB8" s="142">
        <f>IF(U8,W8/U8,0)</f>
        <v/>
      </c>
      <c r="AC8" s="142">
        <f>IF(V8,X8/V8,0)</f>
        <v/>
      </c>
      <c r="AD8" s="142">
        <f>IF(U8,Y8/U8,0)</f>
        <v/>
      </c>
      <c r="AE8" s="142">
        <f>IF(V8,Z8/V8,0)</f>
        <v/>
      </c>
      <c r="AF8" s="142">
        <f>IF(S8,T8/S8,0)</f>
        <v/>
      </c>
      <c r="AH8" s="65" t="inlineStr">
        <is>
          <t>WPM 05/07 - 05/21</t>
        </is>
      </c>
      <c r="AI8" s="65" t="n">
        <v>9</v>
      </c>
      <c r="AJ8" s="65" t="n">
        <v>22</v>
      </c>
      <c r="AL8" s="65" t="inlineStr">
        <is>
          <t>WPM 05/07 - 05/21</t>
        </is>
      </c>
      <c r="AM8" s="65" t="n">
        <v>0</v>
      </c>
      <c r="AN8" s="65" t="n">
        <v>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 01/15 - 01/29</t>
        </is>
      </c>
      <c r="S9" s="81" t="n">
        <v>45</v>
      </c>
      <c r="T9" s="81" t="n">
        <v>37</v>
      </c>
      <c r="U9" s="81" t="n">
        <v>5</v>
      </c>
      <c r="V9" s="81" t="n">
        <v>32</v>
      </c>
      <c r="W9" s="81" t="n">
        <v>0</v>
      </c>
      <c r="X9" s="81" t="n">
        <v>0</v>
      </c>
      <c r="Y9" s="81" t="n">
        <v>0</v>
      </c>
      <c r="Z9" s="81" t="n">
        <v>8</v>
      </c>
      <c r="AA9" s="81" t="n">
        <v>5</v>
      </c>
      <c r="AB9" s="142">
        <f>IF(U9,W9/U9,0)</f>
        <v/>
      </c>
      <c r="AC9" s="142">
        <f>IF(V9,X9/V9,0)</f>
        <v/>
      </c>
      <c r="AD9" s="142">
        <f>IF(U9,Y9/U9,0)</f>
        <v/>
      </c>
      <c r="AE9" s="142">
        <f>IF(V9,Z9/V9,0)</f>
        <v/>
      </c>
      <c r="AF9" s="142">
        <f>IF(S9,T9/S9,0)</f>
        <v/>
      </c>
      <c r="AH9" s="65" t="inlineStr">
        <is>
          <t>Grand Total</t>
        </is>
      </c>
      <c r="AI9" s="65" t="n">
        <v>55</v>
      </c>
      <c r="AJ9" s="65" t="n">
        <v>165</v>
      </c>
      <c r="AL9" s="65" t="inlineStr">
        <is>
          <t>Grand Total</t>
        </is>
      </c>
      <c r="AM9" s="65" t="n">
        <v>1</v>
      </c>
      <c r="AN9" s="65" t="n">
        <v>55</v>
      </c>
    </row>
    <row r="10" ht="18" customHeight="1">
      <c r="B10" s="175" t="n"/>
      <c r="C10" s="178" t="inlineStr">
        <is>
          <t>Project Manager/Lead</t>
        </is>
      </c>
      <c r="D10" s="301" t="inlineStr">
        <is>
          <t>Dayanand</t>
        </is>
      </c>
      <c r="F10" s="224" t="n"/>
      <c r="G10" s="224" t="n"/>
      <c r="H10" s="176" t="n"/>
      <c r="I10" s="176" t="n"/>
      <c r="J10" s="176" t="n"/>
      <c r="K10" s="176" t="n"/>
      <c r="L10" s="176" t="n"/>
      <c r="M10" s="176" t="n"/>
      <c r="N10" s="176" t="n"/>
      <c r="O10" s="177" t="n"/>
      <c r="R10" s="81" t="inlineStr">
        <is>
          <t>WPM 01/29 - 02/12</t>
        </is>
      </c>
      <c r="S10" s="81" t="n">
        <v>46</v>
      </c>
      <c r="T10" s="81" t="n">
        <v>28</v>
      </c>
      <c r="U10" s="81" t="n">
        <v>7</v>
      </c>
      <c r="V10" s="81" t="n">
        <v>21</v>
      </c>
      <c r="W10" s="81" t="n">
        <v>0</v>
      </c>
      <c r="X10" s="81" t="n">
        <v>8</v>
      </c>
      <c r="Y10" s="81" t="n">
        <v>0</v>
      </c>
      <c r="Z10" s="81" t="n">
        <v>18</v>
      </c>
      <c r="AA10" s="81" t="n">
        <v>7</v>
      </c>
      <c r="AB10" s="142">
        <f>IF(U10,W10/U10,0)</f>
        <v/>
      </c>
      <c r="AC10" s="142">
        <f>IF(V10,X10/V10,0)</f>
        <v/>
      </c>
      <c r="AD10" s="142">
        <f>IF(U10,Y10/U10,0)</f>
        <v/>
      </c>
      <c r="AE10" s="142">
        <f>IF(V10,Z10/V10,0)</f>
        <v/>
      </c>
      <c r="AF10" s="142">
        <f>IF(S10,T10/S10,0)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WPM 02/12 - 02/26</t>
        </is>
      </c>
      <c r="S11" s="81" t="n">
        <v>46</v>
      </c>
      <c r="T11" s="81" t="n">
        <v>25</v>
      </c>
      <c r="U11" s="81" t="n">
        <v>6</v>
      </c>
      <c r="V11" s="81" t="n">
        <v>19</v>
      </c>
      <c r="W11" s="81" t="n">
        <v>0</v>
      </c>
      <c r="X11" s="81" t="n">
        <v>0</v>
      </c>
      <c r="Y11" s="81" t="n">
        <v>0</v>
      </c>
      <c r="Z11" s="81" t="n">
        <v>21</v>
      </c>
      <c r="AA11" s="81" t="n">
        <v>6</v>
      </c>
      <c r="AB11" s="142">
        <f>IF(U11,W11/U11,0)</f>
        <v/>
      </c>
      <c r="AC11" s="142">
        <f>IF(V11,X11/V11,0)</f>
        <v/>
      </c>
      <c r="AD11" s="142">
        <f>IF(U11,Y11/U11,0)</f>
        <v/>
      </c>
      <c r="AE11" s="142">
        <f>IF(V11,Z11/V11,0)</f>
        <v/>
      </c>
      <c r="AF11" s="142">
        <f>IF(S11,T11/S11,0)</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WPM 02/26 - 03/12</t>
        </is>
      </c>
      <c r="S12" s="81" t="n">
        <v>58</v>
      </c>
      <c r="T12" s="81" t="n">
        <v>41</v>
      </c>
      <c r="U12" s="81" t="n">
        <v>6</v>
      </c>
      <c r="V12" s="81" t="n">
        <v>35</v>
      </c>
      <c r="W12" s="81" t="n">
        <v>1</v>
      </c>
      <c r="X12" s="81" t="n">
        <v>9</v>
      </c>
      <c r="Y12" s="81" t="n">
        <v>0</v>
      </c>
      <c r="Z12" s="81" t="n">
        <v>17</v>
      </c>
      <c r="AA12" s="81" t="n">
        <v>6</v>
      </c>
      <c r="AB12" s="142">
        <f>IF(U12,W12/U12,0)</f>
        <v/>
      </c>
      <c r="AC12" s="142">
        <f>IF(V12,X12/V12,0)</f>
        <v/>
      </c>
      <c r="AD12" s="142">
        <f>IF(U12,Y12/U12,0)</f>
        <v/>
      </c>
      <c r="AE12" s="142">
        <f>IF(V12,Z12/V12,0)</f>
        <v/>
      </c>
      <c r="AF12" s="142">
        <f>IF(S12,T12/S12,0)</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WPM 03/12 - 03/26</t>
        </is>
      </c>
      <c r="S13" s="81" t="n">
        <v>58</v>
      </c>
      <c r="T13" s="81" t="n">
        <v>58</v>
      </c>
      <c r="U13" s="81" t="n">
        <v>15</v>
      </c>
      <c r="V13" s="81" t="n">
        <v>43</v>
      </c>
      <c r="W13" s="81" t="n">
        <v>0</v>
      </c>
      <c r="X13" s="81" t="n">
        <v>8</v>
      </c>
      <c r="Y13" s="81" t="n">
        <v>0</v>
      </c>
      <c r="Z13" s="81" t="n">
        <v>0</v>
      </c>
      <c r="AA13" s="81" t="n">
        <v>15</v>
      </c>
      <c r="AB13" s="142">
        <f>IF(U13,W13/U13,0)</f>
        <v/>
      </c>
      <c r="AC13" s="142">
        <f>IF(V13,X13/V13,0)</f>
        <v/>
      </c>
      <c r="AD13" s="142">
        <f>IF(U13,Y13/U13,0)</f>
        <v/>
      </c>
      <c r="AE13" s="142">
        <f>IF(V13,Z13/V13,0)</f>
        <v/>
      </c>
      <c r="AF13" s="142">
        <f>IF(S13,T13/S13,0)</f>
        <v/>
      </c>
      <c r="AH13" s="81">
        <f>AH3</f>
        <v/>
      </c>
      <c r="AI13" s="81">
        <f>AI3</f>
        <v/>
      </c>
      <c r="AJ13" s="81">
        <f>AJ3</f>
        <v/>
      </c>
    </row>
    <row r="14" ht="18" customHeight="1">
      <c r="B14" s="175" t="n"/>
      <c r="C14" s="243" t="inlineStr">
        <is>
          <t>Off-shore team</t>
        </is>
      </c>
      <c r="D14" s="303" t="inlineStr">
        <is>
          <t>Allocated</t>
        </is>
      </c>
      <c r="E14" s="315" t="n"/>
      <c r="F14" s="239" t="inlineStr">
        <is>
          <t>2+4</t>
        </is>
      </c>
      <c r="G14" s="303" t="inlineStr">
        <is>
          <t>Billable</t>
        </is>
      </c>
      <c r="H14" s="315" t="n"/>
      <c r="I14" s="239" t="n">
        <v>2</v>
      </c>
      <c r="J14" s="183" t="n"/>
      <c r="K14" s="183" t="n"/>
      <c r="L14" s="183" t="n"/>
      <c r="M14" s="183" t="n"/>
      <c r="N14" s="183" t="n"/>
      <c r="O14" s="177" t="n"/>
      <c r="R14" s="172" t="inlineStr">
        <is>
          <t>WPM 03/26 - 04/09</t>
        </is>
      </c>
      <c r="S14" s="81" t="n">
        <v>40</v>
      </c>
      <c r="T14" s="81" t="n">
        <v>29</v>
      </c>
      <c r="U14" s="172" t="n">
        <v>8</v>
      </c>
      <c r="V14" s="172" t="n">
        <v>21</v>
      </c>
      <c r="W14" s="81" t="n">
        <v>0</v>
      </c>
      <c r="X14" s="81" t="n">
        <v>8</v>
      </c>
      <c r="Y14" s="81" t="n">
        <v>0</v>
      </c>
      <c r="Z14" s="81" t="n">
        <v>11</v>
      </c>
      <c r="AA14" s="81" t="n">
        <v>8</v>
      </c>
      <c r="AB14" s="142">
        <f>IF(U14,W14/U14,0)</f>
        <v/>
      </c>
      <c r="AC14" s="142">
        <f>IF(V14,X14/V14,0)</f>
        <v/>
      </c>
      <c r="AD14" s="142">
        <f>IF(U14,Y14/U14,0)</f>
        <v/>
      </c>
      <c r="AE14" s="142">
        <f>IF(V14,Z14/V14,0)</f>
        <v/>
      </c>
      <c r="AF14" s="142">
        <f>IF(S14,T14/S14,0)</f>
        <v/>
      </c>
      <c r="AH14" s="81">
        <f>AH4</f>
        <v/>
      </c>
      <c r="AI14" s="81">
        <f>AI4</f>
        <v/>
      </c>
      <c r="AJ14" s="81">
        <f>AJ4</f>
        <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inlineStr">
        <is>
          <t>WPM 04/09 - 04/23</t>
        </is>
      </c>
      <c r="S15" s="81" t="n">
        <v>34</v>
      </c>
      <c r="T15" s="81" t="n">
        <v>20</v>
      </c>
      <c r="U15" s="172" t="n">
        <v>2</v>
      </c>
      <c r="V15" s="172" t="n">
        <v>18</v>
      </c>
      <c r="W15" s="81" t="n">
        <v>0</v>
      </c>
      <c r="X15" s="81" t="n">
        <v>9</v>
      </c>
      <c r="Y15" s="81" t="n">
        <v>3</v>
      </c>
      <c r="Z15" s="81" t="n">
        <v>11</v>
      </c>
      <c r="AA15" s="81" t="n">
        <v>2</v>
      </c>
      <c r="AB15" s="142">
        <f>IF(U15,W15/U15,0)</f>
        <v/>
      </c>
      <c r="AC15" s="142">
        <f>IF(V15,X15/V15,0)</f>
        <v/>
      </c>
      <c r="AD15" s="142">
        <f>IF(U15,Y15/U15,0)</f>
        <v/>
      </c>
      <c r="AE15" s="142">
        <f>IF(V15,Z15/V15,0)</f>
        <v/>
      </c>
      <c r="AF15" s="142">
        <f>IF(S15,T15/S15,0)</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inlineStr">
        <is>
          <t>WPM 04/23 - 05/07</t>
        </is>
      </c>
      <c r="S16" s="270" t="n">
        <v>41</v>
      </c>
      <c r="T16" s="81" t="n">
        <v>41</v>
      </c>
      <c r="U16" s="81" t="n">
        <v>15</v>
      </c>
      <c r="V16" s="81" t="n">
        <v>26</v>
      </c>
      <c r="W16" s="81" t="n">
        <v>0</v>
      </c>
      <c r="X16" s="81" t="n">
        <v>0</v>
      </c>
      <c r="Y16" s="81" t="n">
        <v>0</v>
      </c>
      <c r="Z16" s="81" t="n">
        <v>0</v>
      </c>
      <c r="AA16" s="81" t="n">
        <v>15</v>
      </c>
      <c r="AB16" s="142">
        <f>IF(U16,W16/U16,0)</f>
        <v/>
      </c>
      <c r="AC16" s="142">
        <f>IF(V16,X16/V16,0)</f>
        <v/>
      </c>
      <c r="AD16" s="142">
        <f>IF(U16,Y16/U16,0)</f>
        <v/>
      </c>
      <c r="AE16" s="142">
        <f>IF(V16,Z16/V16,0)</f>
        <v/>
      </c>
      <c r="AF16" s="142">
        <f>IF(S16,T16/S16,0)</f>
        <v/>
      </c>
      <c r="AH16" s="81">
        <f>AH6</f>
        <v/>
      </c>
      <c r="AI16" s="81">
        <f>AI6</f>
        <v/>
      </c>
      <c r="AJ16" s="81">
        <f>AJ6</f>
        <v/>
      </c>
      <c r="AL16" s="81" t="inlineStr">
        <is>
          <t>Rework</t>
        </is>
      </c>
      <c r="AM16" s="81">
        <f>GETPIVOTDATA("Sum of Rework",$AL$2)</f>
        <v/>
      </c>
    </row>
    <row r="17" ht="18" customHeight="1">
      <c r="R17" s="263" t="inlineStr">
        <is>
          <t>WPM 05/07 - 05/21</t>
        </is>
      </c>
      <c r="S17" s="81" t="n">
        <v>34</v>
      </c>
      <c r="T17" s="81" t="n">
        <v>31</v>
      </c>
      <c r="U17" s="81" t="n">
        <v>9</v>
      </c>
      <c r="V17" s="81" t="n">
        <v>22</v>
      </c>
      <c r="W17" s="81" t="n">
        <v>0</v>
      </c>
      <c r="X17" s="81" t="n">
        <v>0</v>
      </c>
      <c r="Y17" s="81" t="n">
        <v>0</v>
      </c>
      <c r="Z17" s="81" t="n">
        <v>3</v>
      </c>
      <c r="AA17" s="81" t="n">
        <v>9</v>
      </c>
      <c r="AB17" s="142">
        <f>IF(U17,W17/U17,0)</f>
        <v/>
      </c>
      <c r="AC17" s="142">
        <f>IF(V17,X17/V17,0)</f>
        <v/>
      </c>
      <c r="AD17" s="142">
        <f>IF(U17,Y17/U17,0)</f>
        <v/>
      </c>
      <c r="AE17" s="142">
        <f>IF(V17,Z17/V17,0)</f>
        <v/>
      </c>
      <c r="AF17" s="142">
        <f>IF(S17,T17/S17,0)</f>
        <v/>
      </c>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 02/26 - 03/12</t>
        </is>
      </c>
      <c r="AI23" s="65" t="n">
        <v>0.2571428571428571</v>
      </c>
      <c r="AJ23" s="65" t="n">
        <v>0.1666666666666667</v>
      </c>
      <c r="AM23" s="65" t="inlineStr">
        <is>
          <t>WPM 02/26 - 03/12</t>
        </is>
      </c>
      <c r="AN23" s="65" t="n">
        <v>0</v>
      </c>
      <c r="AO23" s="65" t="n">
        <v>0.4857142857142857</v>
      </c>
    </row>
    <row r="24" ht="18" customHeight="1">
      <c r="AB24" s="142" t="n"/>
      <c r="AC24" s="142" t="n"/>
      <c r="AD24" s="142" t="n"/>
      <c r="AE24" s="142" t="n"/>
      <c r="AF24" s="142" t="n"/>
      <c r="AH24" s="65" t="inlineStr">
        <is>
          <t>WPM 03/12 - 03/26</t>
        </is>
      </c>
      <c r="AI24" s="65" t="n">
        <v>0.186046511627907</v>
      </c>
      <c r="AJ24" s="65" t="n">
        <v>0</v>
      </c>
      <c r="AM24" s="65" t="inlineStr">
        <is>
          <t>WPM 03/12 - 03/26</t>
        </is>
      </c>
      <c r="AN24" s="65" t="n">
        <v>0</v>
      </c>
      <c r="AO24" s="65" t="n">
        <v>0</v>
      </c>
    </row>
    <row r="25" ht="18" customHeight="1">
      <c r="R25" s="264" t="n"/>
      <c r="AB25" s="142" t="n"/>
      <c r="AC25" s="142" t="n"/>
      <c r="AD25" s="142" t="n"/>
      <c r="AE25" s="142" t="n"/>
      <c r="AF25" s="142" t="n"/>
      <c r="AH25" s="65" t="inlineStr">
        <is>
          <t>WPM 03/26 - 04/09</t>
        </is>
      </c>
      <c r="AI25" s="65" t="n">
        <v>0.3809523809523809</v>
      </c>
      <c r="AJ25" s="65" t="n">
        <v>0</v>
      </c>
      <c r="AM25" s="65" t="inlineStr">
        <is>
          <t>WPM 03/26 - 04/09</t>
        </is>
      </c>
      <c r="AN25" s="65" t="n">
        <v>0</v>
      </c>
      <c r="AO25" s="65" t="n">
        <v>0.5238095238095238</v>
      </c>
    </row>
    <row r="26" ht="18" customHeight="1">
      <c r="R26" s="273" t="n"/>
      <c r="S26" s="270" t="n"/>
      <c r="AB26" s="142" t="n"/>
      <c r="AC26" s="142" t="n"/>
      <c r="AD26" s="142" t="n"/>
      <c r="AE26" s="142" t="n"/>
      <c r="AF26" s="142" t="n"/>
      <c r="AH26" s="65" t="inlineStr">
        <is>
          <t>WPM 04/09 - 04/23</t>
        </is>
      </c>
      <c r="AI26" s="65" t="n">
        <v>0.5</v>
      </c>
      <c r="AJ26" s="65" t="n">
        <v>0</v>
      </c>
      <c r="AM26" s="65" t="inlineStr">
        <is>
          <t>WPM 04/09 - 04/23</t>
        </is>
      </c>
      <c r="AN26" s="65" t="n">
        <v>1.5</v>
      </c>
      <c r="AO26" s="65" t="n">
        <v>0.6111111111111112</v>
      </c>
    </row>
    <row r="27" ht="18" customHeight="1">
      <c r="R27" s="274" t="n"/>
      <c r="S27" s="270" t="n"/>
      <c r="AB27" s="142" t="n"/>
      <c r="AC27" s="142" t="n"/>
      <c r="AD27" s="142" t="n"/>
      <c r="AE27" s="142" t="n"/>
      <c r="AF27" s="142" t="n"/>
      <c r="AH27" s="65" t="inlineStr">
        <is>
          <t>WPM 04/23 - 05/07</t>
        </is>
      </c>
      <c r="AI27" s="65" t="n">
        <v>0</v>
      </c>
      <c r="AJ27" s="65" t="n">
        <v>0</v>
      </c>
      <c r="AM27" s="65" t="inlineStr">
        <is>
          <t>WPM 04/23 - 05/07</t>
        </is>
      </c>
      <c r="AN27" s="65" t="n">
        <v>0</v>
      </c>
      <c r="AO27" s="65" t="n">
        <v>0</v>
      </c>
    </row>
    <row r="28" ht="18" customHeight="1">
      <c r="R28" s="263" t="n"/>
      <c r="AB28" s="142" t="n"/>
      <c r="AC28" s="142" t="n"/>
      <c r="AD28" s="142" t="n"/>
      <c r="AE28" s="142" t="n"/>
      <c r="AF28" s="142" t="n"/>
      <c r="AH28" s="65" t="inlineStr">
        <is>
          <t>WPM 05/07 - 05/21</t>
        </is>
      </c>
      <c r="AI28" s="65" t="n">
        <v>0</v>
      </c>
      <c r="AJ28" s="65" t="n">
        <v>0</v>
      </c>
      <c r="AM28" s="65" t="inlineStr">
        <is>
          <t>WPM 05/07 - 05/21</t>
        </is>
      </c>
      <c r="AN28" s="65" t="n">
        <v>0</v>
      </c>
      <c r="AO28" s="65" t="n">
        <v>0.1363636363636364</v>
      </c>
    </row>
    <row r="29" ht="18" customHeight="1">
      <c r="R29" s="263" t="n"/>
      <c r="AB29" s="142" t="n"/>
      <c r="AC29" s="142" t="n"/>
      <c r="AD29" s="142" t="n"/>
      <c r="AE29" s="142" t="n"/>
      <c r="AF29" s="142" t="n"/>
      <c r="AH29" s="65" t="inlineStr">
        <is>
          <t>Grand Total</t>
        </is>
      </c>
      <c r="AI29" s="65" t="n">
        <v>1.324141749723145</v>
      </c>
      <c r="AJ29" s="65" t="n">
        <v>0.1666666666666667</v>
      </c>
      <c r="AM29" s="65" t="inlineStr">
        <is>
          <t>Grand Total</t>
        </is>
      </c>
      <c r="AN29" s="65" t="n">
        <v>1.5</v>
      </c>
      <c r="AO29" s="65" t="n">
        <v>1.756998556998557</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f>AH27</f>
        <v/>
      </c>
      <c r="AI41" s="142">
        <f>AI27</f>
        <v/>
      </c>
      <c r="AJ41" s="142">
        <f>AJ27</f>
        <v/>
      </c>
      <c r="AL41" s="81">
        <f>AM27</f>
        <v/>
      </c>
      <c r="AM41" s="81">
        <f>AN27</f>
        <v/>
      </c>
      <c r="AN41" s="81">
        <f>AO27</f>
        <v/>
      </c>
    </row>
    <row r="42" ht="18" customHeight="1">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 02/26 - 03/12</t>
        </is>
      </c>
      <c r="AM48" s="64" t="n">
        <v>0.7068965517241379</v>
      </c>
    </row>
    <row r="49" ht="18" customHeight="1">
      <c r="AB49" s="142" t="n"/>
      <c r="AC49" s="142" t="n"/>
      <c r="AD49" s="142" t="n"/>
      <c r="AE49" s="142" t="n"/>
      <c r="AF49" s="142" t="n"/>
      <c r="AL49" s="64" t="inlineStr">
        <is>
          <t>WPM 03/12 - 03/26</t>
        </is>
      </c>
      <c r="AM49" s="64" t="n">
        <v>1</v>
      </c>
    </row>
    <row r="50" ht="18" customHeight="1">
      <c r="AB50" s="142" t="n"/>
      <c r="AC50" s="142" t="n"/>
      <c r="AD50" s="142" t="n"/>
      <c r="AE50" s="142" t="n"/>
      <c r="AF50" s="142" t="n"/>
      <c r="AH50" s="74" t="inlineStr">
        <is>
          <t>Sprint</t>
        </is>
      </c>
      <c r="AI50" s="81" t="inlineStr">
        <is>
          <t>V2</t>
        </is>
      </c>
      <c r="AJ50" s="81" t="inlineStr">
        <is>
          <t>LT</t>
        </is>
      </c>
      <c r="AL50" s="64" t="inlineStr">
        <is>
          <t>WPM 03/26 - 04/09</t>
        </is>
      </c>
      <c r="AM50" s="64" t="n">
        <v>0.725</v>
      </c>
    </row>
    <row r="51" ht="18" customHeight="1">
      <c r="AB51" s="142" t="n"/>
      <c r="AC51" s="142" t="n"/>
      <c r="AD51" s="142" t="n"/>
      <c r="AE51" s="142" t="n"/>
      <c r="AF51" s="142" t="n"/>
      <c r="AH51" s="64" t="inlineStr">
        <is>
          <t>WPM 02/26 - 03/12</t>
        </is>
      </c>
      <c r="AI51" s="81" t="n">
        <v>6</v>
      </c>
      <c r="AJ51" s="81" t="n">
        <v>35</v>
      </c>
      <c r="AL51" s="64" t="inlineStr">
        <is>
          <t>WPM 04/09 - 04/23</t>
        </is>
      </c>
      <c r="AM51" s="64" t="n">
        <v>0.5882352941176471</v>
      </c>
    </row>
    <row r="52" ht="18" customHeight="1">
      <c r="AB52" s="142" t="n"/>
      <c r="AC52" s="142" t="n"/>
      <c r="AD52" s="142" t="n"/>
      <c r="AE52" s="142" t="n"/>
      <c r="AF52" s="142" t="n"/>
      <c r="AH52" s="64" t="inlineStr">
        <is>
          <t>WPM 03/12 - 03/26</t>
        </is>
      </c>
      <c r="AI52" s="81" t="n">
        <v>15</v>
      </c>
      <c r="AJ52" s="81" t="n">
        <v>43</v>
      </c>
      <c r="AL52" s="64" t="inlineStr">
        <is>
          <t>WPM 04/23 - 05/07</t>
        </is>
      </c>
      <c r="AM52" s="64" t="n">
        <v>1</v>
      </c>
    </row>
    <row r="53" ht="18" customHeight="1">
      <c r="AB53" s="142" t="n"/>
      <c r="AC53" s="142" t="n"/>
      <c r="AD53" s="142" t="n"/>
      <c r="AE53" s="142" t="n"/>
      <c r="AF53" s="142" t="n"/>
      <c r="AH53" s="64" t="inlineStr">
        <is>
          <t>WPM 03/26 - 04/09</t>
        </is>
      </c>
      <c r="AI53" s="172" t="n">
        <v>8</v>
      </c>
      <c r="AJ53" s="172" t="n">
        <v>21</v>
      </c>
      <c r="AL53" s="64" t="inlineStr">
        <is>
          <t>WPM 05/07 - 05/21</t>
        </is>
      </c>
      <c r="AM53" s="64" t="n">
        <v>0.9117647058823529</v>
      </c>
    </row>
    <row r="54" ht="18" customHeight="1">
      <c r="AB54" s="142" t="n"/>
      <c r="AC54" s="142" t="n"/>
      <c r="AD54" s="142" t="n"/>
      <c r="AE54" s="142" t="n"/>
      <c r="AF54" s="142" t="n"/>
      <c r="AH54" s="64" t="inlineStr">
        <is>
          <t>WPM 04/09 - 04/23</t>
        </is>
      </c>
      <c r="AI54" s="172" t="n">
        <v>2</v>
      </c>
      <c r="AJ54" s="172" t="n">
        <v>18</v>
      </c>
      <c r="AL54" s="65" t="inlineStr">
        <is>
          <t>Grand Total</t>
        </is>
      </c>
      <c r="AM54" s="65" t="n">
        <v>4.931896551724138</v>
      </c>
    </row>
    <row r="55" ht="18" customHeight="1">
      <c r="AB55" s="142" t="n"/>
      <c r="AC55" s="142" t="n"/>
      <c r="AD55" s="142" t="n"/>
      <c r="AE55" s="142" t="n"/>
      <c r="AF55" s="142" t="n"/>
      <c r="AH55" s="64" t="inlineStr">
        <is>
          <t>WPM 04/23 - 05/07</t>
        </is>
      </c>
      <c r="AI55" s="81" t="n">
        <v>15</v>
      </c>
      <c r="AJ55" s="81" t="n">
        <v>26</v>
      </c>
    </row>
    <row r="56" ht="18" customHeight="1">
      <c r="AB56" s="142" t="n"/>
      <c r="AC56" s="142" t="n"/>
      <c r="AD56" s="142" t="n"/>
      <c r="AE56" s="142" t="n"/>
      <c r="AF56" s="142" t="n"/>
      <c r="AH56" s="64" t="inlineStr">
        <is>
          <t>WPM 05/07 - 05/21</t>
        </is>
      </c>
      <c r="AI56" s="81" t="n">
        <v>9</v>
      </c>
      <c r="AJ56" s="81" t="n">
        <v>22</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WPM 02/26 - 03/12</t>
        </is>
      </c>
      <c r="AI62" s="81" t="n">
        <v>1</v>
      </c>
      <c r="AJ62" s="81" t="n">
        <v>9</v>
      </c>
      <c r="AL62" s="81">
        <f>AL51</f>
        <v/>
      </c>
      <c r="AM62" s="142">
        <f>AM51</f>
        <v/>
      </c>
    </row>
    <row r="63" ht="18" customHeight="1">
      <c r="AB63" s="142" t="n"/>
      <c r="AC63" s="142" t="n"/>
      <c r="AD63" s="142" t="n"/>
      <c r="AE63" s="142" t="n"/>
      <c r="AF63" s="142" t="n"/>
      <c r="AH63" s="64" t="inlineStr">
        <is>
          <t>WPM 03/12 - 03/26</t>
        </is>
      </c>
      <c r="AI63" s="81" t="n">
        <v>0</v>
      </c>
      <c r="AJ63" s="81" t="n">
        <v>8</v>
      </c>
      <c r="AL63" s="81">
        <f>AL52</f>
        <v/>
      </c>
      <c r="AM63" s="142">
        <f>AM52</f>
        <v/>
      </c>
    </row>
    <row r="64" ht="18" customHeight="1">
      <c r="AB64" s="142" t="n"/>
      <c r="AC64" s="142" t="n"/>
      <c r="AD64" s="142" t="n"/>
      <c r="AE64" s="142" t="n"/>
      <c r="AF64" s="142" t="n"/>
      <c r="AH64" s="64" t="inlineStr">
        <is>
          <t>WPM 03/26 - 04/09</t>
        </is>
      </c>
      <c r="AI64" s="81" t="n">
        <v>0</v>
      </c>
      <c r="AJ64" s="81" t="n">
        <v>8</v>
      </c>
      <c r="AL64" s="81">
        <f>AL53</f>
        <v/>
      </c>
      <c r="AM64" s="142">
        <f>AM53</f>
        <v/>
      </c>
    </row>
    <row r="65" ht="18" customHeight="1">
      <c r="AB65" s="142" t="n"/>
      <c r="AC65" s="142" t="n"/>
      <c r="AD65" s="142" t="n"/>
      <c r="AE65" s="142" t="n"/>
      <c r="AF65" s="142" t="n"/>
      <c r="AH65" s="64" t="inlineStr">
        <is>
          <t>WPM 04/09 - 04/23</t>
        </is>
      </c>
      <c r="AI65" s="81" t="n">
        <v>0</v>
      </c>
      <c r="AJ65" s="81" t="n">
        <v>9</v>
      </c>
      <c r="AL65" s="81" t="n"/>
      <c r="AM65" s="142" t="n"/>
    </row>
    <row r="66" ht="18" customHeight="1">
      <c r="AB66" s="142" t="n"/>
      <c r="AC66" s="142" t="n"/>
      <c r="AD66" s="142" t="n"/>
      <c r="AE66" s="142" t="n"/>
      <c r="AF66" s="142" t="n"/>
      <c r="AH66" s="64" t="inlineStr">
        <is>
          <t>WPM 04/23 - 05/07</t>
        </is>
      </c>
      <c r="AI66" s="81" t="n">
        <v>0</v>
      </c>
      <c r="AJ66" s="81" t="n">
        <v>0</v>
      </c>
      <c r="AL66" s="81" t="n"/>
      <c r="AM66" s="81" t="n"/>
    </row>
    <row r="67" ht="18" customHeight="1">
      <c r="AB67" s="142" t="n"/>
      <c r="AC67" s="142" t="n"/>
      <c r="AD67" s="142" t="n"/>
      <c r="AE67" s="142" t="n"/>
      <c r="AF67" s="142" t="n"/>
      <c r="AH67" s="64" t="inlineStr">
        <is>
          <t>WPM 05/07 - 05/21</t>
        </is>
      </c>
      <c r="AI67" s="81" t="n">
        <v>0</v>
      </c>
      <c r="AJ67" s="81" t="n">
        <v>0</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WPM 02/26 - 03/12</t>
        </is>
      </c>
      <c r="AI72" s="81" t="n">
        <v>0</v>
      </c>
      <c r="AJ72" s="81" t="n">
        <v>17</v>
      </c>
    </row>
    <row r="73" ht="18" customHeight="1">
      <c r="AB73" s="142" t="n"/>
      <c r="AC73" s="142" t="n"/>
      <c r="AD73" s="142" t="n"/>
      <c r="AE73" s="142" t="n"/>
      <c r="AF73" s="142" t="n"/>
      <c r="AH73" s="64" t="inlineStr">
        <is>
          <t>WPM 03/12 - 03/26</t>
        </is>
      </c>
      <c r="AI73" s="81" t="n">
        <v>0</v>
      </c>
      <c r="AJ73" s="81" t="n">
        <v>0</v>
      </c>
    </row>
    <row r="74" ht="18" customHeight="1">
      <c r="AB74" s="142" t="n"/>
      <c r="AC74" s="142" t="n"/>
      <c r="AD74" s="142" t="n"/>
      <c r="AE74" s="142" t="n"/>
      <c r="AF74" s="142" t="n"/>
      <c r="AH74" s="64" t="inlineStr">
        <is>
          <t>WPM 03/26 - 04/09</t>
        </is>
      </c>
      <c r="AI74" s="81" t="n">
        <v>0</v>
      </c>
      <c r="AJ74" s="81" t="n">
        <v>11</v>
      </c>
    </row>
    <row r="75" ht="18" customHeight="1">
      <c r="AB75" s="142" t="n"/>
      <c r="AC75" s="142" t="n"/>
      <c r="AD75" s="142" t="n"/>
      <c r="AE75" s="142" t="n"/>
      <c r="AF75" s="142" t="n"/>
      <c r="AH75" s="64" t="inlineStr">
        <is>
          <t>WPM 04/09 - 04/23</t>
        </is>
      </c>
      <c r="AI75" s="81" t="n">
        <v>3</v>
      </c>
      <c r="AJ75" s="81" t="n">
        <v>11</v>
      </c>
    </row>
    <row r="76" ht="18" customHeight="1">
      <c r="AH76" s="64" t="inlineStr">
        <is>
          <t>WPM 04/23 - 05/07</t>
        </is>
      </c>
      <c r="AI76" s="81" t="n">
        <v>0</v>
      </c>
      <c r="AJ76" s="81" t="n">
        <v>0</v>
      </c>
    </row>
    <row r="77" ht="18" customHeight="1">
      <c r="AH77" s="64" t="inlineStr">
        <is>
          <t>WPM 05/07 - 05/21</t>
        </is>
      </c>
      <c r="AI77" s="81" t="n">
        <v>0</v>
      </c>
      <c r="AJ77" s="81" t="n">
        <v>3</v>
      </c>
    </row>
    <row r="78" ht="18" customHeight="1">
      <c r="AH78" s="81" t="n"/>
      <c r="AI78" s="64" t="n"/>
      <c r="AJ78" s="64" t="n"/>
    </row>
    <row r="79" ht="18" customHeight="1">
      <c r="AH79" s="81" t="n"/>
      <c r="AI79" s="64" t="n"/>
      <c r="AJ79" s="64"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4" sqref="A4"/>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33</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4"/>
  <sheetViews>
    <sheetView workbookViewId="0">
      <selection activeCell="D9" sqref="D9"/>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37</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10" activePane="bottomLeft" state="frozen"/>
      <selection pane="bottomLeft" activeCell="AH2" sqref="AH2"/>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140625" bestFit="1" customWidth="1" style="65" min="34" max="34"/>
    <col width="10.140625" bestFit="1" customWidth="1" style="65" min="35" max="35"/>
    <col width="9.85546875" bestFit="1" customWidth="1" style="65" min="36" max="36"/>
    <col width="9.140625" customWidth="1" style="65" min="37" max="37"/>
    <col width="16.4257812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290" t="inlineStr">
        <is>
          <t>CET 03/24 - 04/07</t>
        </is>
      </c>
      <c r="S2" s="293" t="n">
        <v>106</v>
      </c>
      <c r="T2" s="293" t="n">
        <v>73</v>
      </c>
      <c r="U2" s="293" t="n">
        <v>2</v>
      </c>
      <c r="V2" s="293" t="n">
        <v>71</v>
      </c>
      <c r="W2" s="293" t="n">
        <v>0</v>
      </c>
      <c r="X2" s="293" t="n">
        <v>11</v>
      </c>
      <c r="Y2" s="293" t="n">
        <v>5</v>
      </c>
      <c r="Z2" s="293" t="n">
        <v>28</v>
      </c>
      <c r="AA2" s="293" t="n">
        <v>2</v>
      </c>
      <c r="AB2" s="294">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290" t="inlineStr">
        <is>
          <t>CET 04/07 - 04/21</t>
        </is>
      </c>
      <c r="S3" s="293" t="n">
        <v>103</v>
      </c>
      <c r="T3" s="293" t="n">
        <v>56</v>
      </c>
      <c r="U3" s="293" t="n">
        <v>10</v>
      </c>
      <c r="V3" s="293" t="n">
        <v>46</v>
      </c>
      <c r="W3" s="293" t="n">
        <v>0</v>
      </c>
      <c r="X3" s="293" t="n">
        <v>18</v>
      </c>
      <c r="Y3" s="293" t="n">
        <v>0</v>
      </c>
      <c r="Z3" s="293" t="n">
        <v>47</v>
      </c>
      <c r="AA3" s="293" t="n">
        <v>10</v>
      </c>
      <c r="AB3" s="294">
        <f>IF(U3,W3/U3,0)</f>
        <v/>
      </c>
      <c r="AC3" s="142">
        <f>IF(V3,X3/V3,0)</f>
        <v/>
      </c>
      <c r="AD3" s="142">
        <f>IF(U3,Y3/U3,0)</f>
        <v/>
      </c>
      <c r="AE3" s="142">
        <f>IF(V3,Z3/V3,0)</f>
        <v/>
      </c>
      <c r="AF3" s="142">
        <f>IF(W3,AA3/W3,0)</f>
        <v/>
      </c>
      <c r="AH3" s="65" t="inlineStr">
        <is>
          <t>CET 03/24 - 04/07</t>
        </is>
      </c>
      <c r="AI3" s="65" t="n">
        <v>2</v>
      </c>
      <c r="AJ3" s="65" t="n">
        <v>71</v>
      </c>
      <c r="AL3" s="65" t="inlineStr">
        <is>
          <t>CET 03/24 - 04/07</t>
        </is>
      </c>
      <c r="AM3" s="65" t="n">
        <v>0</v>
      </c>
      <c r="AN3" s="65" t="n">
        <v>2</v>
      </c>
      <c r="AT3" s="65" t="inlineStr">
        <is>
          <t>Red</t>
        </is>
      </c>
    </row>
    <row r="4" ht="18" customHeight="1">
      <c r="B4" s="17" t="n"/>
      <c r="O4" s="10" t="n"/>
      <c r="R4" s="290" t="inlineStr">
        <is>
          <t>CET 05/05 - 05/19</t>
        </is>
      </c>
      <c r="S4" s="81" t="n">
        <v>65</v>
      </c>
      <c r="T4" s="81" t="n">
        <v>47</v>
      </c>
      <c r="U4" s="81" t="n">
        <v>4</v>
      </c>
      <c r="V4" s="81" t="n">
        <v>43</v>
      </c>
      <c r="W4" s="81" t="n">
        <v>0</v>
      </c>
      <c r="X4" s="81" t="n">
        <v>13</v>
      </c>
      <c r="Y4" s="81" t="n">
        <v>3</v>
      </c>
      <c r="Z4" s="81" t="n">
        <v>15</v>
      </c>
      <c r="AA4" s="81" t="n">
        <v>4</v>
      </c>
      <c r="AB4" s="294">
        <f>IF(U4,W4/U4,0)</f>
        <v/>
      </c>
      <c r="AC4" s="142">
        <f>IF(V4,X4/V4,0)</f>
        <v/>
      </c>
      <c r="AD4" s="142">
        <f>IF(U4,Y4/U4,0)</f>
        <v/>
      </c>
      <c r="AE4" s="142">
        <f>IF(V4,Z4/V4,0)</f>
        <v/>
      </c>
      <c r="AF4" s="142">
        <f>IF(W4,AA4/W4,0)</f>
        <v/>
      </c>
      <c r="AH4" s="65" t="inlineStr">
        <is>
          <t>CET 04/07 - 04/21</t>
        </is>
      </c>
      <c r="AI4" s="65" t="n">
        <v>10</v>
      </c>
      <c r="AJ4" s="65" t="n">
        <v>46</v>
      </c>
      <c r="AL4" s="65" t="inlineStr">
        <is>
          <t>CET 04/07 - 04/21</t>
        </is>
      </c>
      <c r="AM4" s="65" t="n">
        <v>0</v>
      </c>
      <c r="AN4" s="65" t="n">
        <v>10</v>
      </c>
      <c r="AT4" s="65" t="inlineStr">
        <is>
          <t>Amber</t>
        </is>
      </c>
    </row>
    <row r="5" ht="18" customHeight="1">
      <c r="B5" s="17" t="n"/>
      <c r="O5" s="10" t="n"/>
      <c r="R5" s="290" t="inlineStr">
        <is>
          <t>CET 05/19 - 06/02</t>
        </is>
      </c>
      <c r="S5" s="81" t="n">
        <v>66</v>
      </c>
      <c r="T5" s="81" t="n">
        <v>42</v>
      </c>
      <c r="U5" s="81" t="n">
        <v>5</v>
      </c>
      <c r="V5" s="81" t="n">
        <v>37</v>
      </c>
      <c r="W5" s="81" t="n">
        <v>0</v>
      </c>
      <c r="X5" s="81" t="n">
        <v>10</v>
      </c>
      <c r="Y5" s="81" t="n">
        <v>0</v>
      </c>
      <c r="Z5" s="81" t="n">
        <v>24</v>
      </c>
      <c r="AA5" s="81" t="n">
        <v>5</v>
      </c>
      <c r="AB5" s="294">
        <f>IF(U5,W5/U5,0)</f>
        <v/>
      </c>
      <c r="AC5" s="142">
        <f>IF(V5,X5/V5,0)</f>
        <v/>
      </c>
      <c r="AD5" s="142">
        <f>IF(U5,Y5/U5,0)</f>
        <v/>
      </c>
      <c r="AE5" s="142">
        <f>IF(V5,Z5/V5,0)</f>
        <v/>
      </c>
      <c r="AF5" s="142">
        <f>IF(W5,AA5/W5,0)</f>
        <v/>
      </c>
      <c r="AH5" s="65" t="inlineStr">
        <is>
          <t>CET 05/05 - 05/19</t>
        </is>
      </c>
      <c r="AI5" s="65" t="n">
        <v>4</v>
      </c>
      <c r="AJ5" s="65" t="n">
        <v>43</v>
      </c>
      <c r="AL5" s="65" t="inlineStr">
        <is>
          <t>CET 05/05 - 05/19</t>
        </is>
      </c>
      <c r="AM5" s="65" t="n">
        <v>0</v>
      </c>
      <c r="AN5" s="65" t="n">
        <v>4</v>
      </c>
    </row>
    <row r="6" ht="18" customHeight="1">
      <c r="B6" s="175" t="n"/>
      <c r="C6" s="176" t="n"/>
      <c r="D6" s="176" t="n"/>
      <c r="E6" s="176" t="n"/>
      <c r="F6" s="176" t="n"/>
      <c r="G6" s="176" t="n"/>
      <c r="H6" s="176" t="n"/>
      <c r="I6" s="176" t="n"/>
      <c r="J6" s="176" t="n"/>
      <c r="K6" s="176" t="n"/>
      <c r="L6" s="176" t="n"/>
      <c r="M6" s="176" t="n"/>
      <c r="N6" s="176" t="n"/>
      <c r="O6" s="177" t="n"/>
      <c r="AB6" s="142" t="n"/>
      <c r="AC6" s="142" t="n"/>
      <c r="AD6" s="142" t="n"/>
      <c r="AE6" s="142" t="n"/>
      <c r="AF6" s="142" t="n"/>
      <c r="AH6" s="65" t="inlineStr">
        <is>
          <t>CET 05/19 - 06/02</t>
        </is>
      </c>
      <c r="AI6" s="65" t="n">
        <v>5</v>
      </c>
      <c r="AJ6" s="65" t="n">
        <v>37</v>
      </c>
      <c r="AL6" s="65" t="inlineStr">
        <is>
          <t>CET 05/19 - 06/02</t>
        </is>
      </c>
      <c r="AM6" s="65" t="n">
        <v>0</v>
      </c>
      <c r="AN6" s="65" t="n">
        <v>5</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46146</v>
      </c>
      <c r="O7" s="177" t="n"/>
      <c r="AB7" s="142" t="n"/>
      <c r="AC7" s="142" t="n"/>
      <c r="AD7" s="142" t="n"/>
      <c r="AE7" s="142" t="n"/>
      <c r="AF7" s="142" t="n"/>
      <c r="AH7" s="65" t="inlineStr">
        <is>
          <t>Grand Total</t>
        </is>
      </c>
      <c r="AI7" s="65" t="n">
        <v>21</v>
      </c>
      <c r="AJ7" s="65" t="n">
        <v>197</v>
      </c>
      <c r="AL7" s="65" t="inlineStr">
        <is>
          <t>Grand Total</t>
        </is>
      </c>
      <c r="AM7" s="65" t="n">
        <v>0</v>
      </c>
      <c r="AN7" s="65" t="n">
        <v>21</v>
      </c>
    </row>
    <row r="8" ht="18" customHeight="1">
      <c r="B8" s="175" t="n"/>
      <c r="C8" s="178" t="inlineStr">
        <is>
          <t>Sub Project</t>
        </is>
      </c>
      <c r="D8" s="301" t="inlineStr">
        <is>
          <t>Consumer Experience Team (CET)</t>
        </is>
      </c>
      <c r="F8" s="224" t="n"/>
      <c r="G8" s="224" t="n"/>
      <c r="H8" s="181" t="n"/>
      <c r="I8" s="181" t="n"/>
      <c r="J8" s="182" t="n"/>
      <c r="K8" s="182" t="n"/>
      <c r="L8" s="183" t="n"/>
      <c r="M8" s="183" t="n"/>
      <c r="N8" s="183" t="n"/>
      <c r="O8" s="177" t="n"/>
      <c r="AB8" s="142" t="n"/>
      <c r="AC8" s="142" t="n"/>
      <c r="AD8" s="142" t="n"/>
      <c r="AE8" s="142" t="n"/>
      <c r="AF8" s="142" t="n"/>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AB9" s="142" t="n"/>
      <c r="AC9" s="142" t="n"/>
      <c r="AD9" s="142" t="n"/>
      <c r="AE9" s="142" t="n"/>
      <c r="AF9" s="142" t="n"/>
    </row>
    <row r="10" ht="18" customHeight="1">
      <c r="B10" s="175" t="n"/>
      <c r="C10" s="178" t="inlineStr">
        <is>
          <t>Project Manager/Lead</t>
        </is>
      </c>
      <c r="D10" s="301" t="inlineStr">
        <is>
          <t>Harpreet</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inlineStr">
        <is>
          <t>1+7</t>
        </is>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7</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f>AI6</f>
        <v/>
      </c>
      <c r="AJ16" s="81">
        <f>AJ6</f>
        <v/>
      </c>
      <c r="AL16" s="81" t="inlineStr">
        <is>
          <t>Rework</t>
        </is>
      </c>
      <c r="AM16" s="81">
        <f>GETPIVOTDATA("Sum of Rework",$AL$2)</f>
        <v/>
      </c>
    </row>
    <row r="17" ht="18" customHeight="1">
      <c r="R17" s="263" t="n"/>
      <c r="AB17" s="142" t="n"/>
      <c r="AC17" s="142" t="n"/>
      <c r="AD17" s="142" t="n"/>
      <c r="AE17" s="142" t="n"/>
      <c r="AF17" s="142" t="n"/>
      <c r="AH17" s="81" t="n"/>
      <c r="AI17" s="81" t="n"/>
      <c r="AJ17" s="81" t="n"/>
    </row>
    <row r="18" ht="18" customHeight="1">
      <c r="AB18" s="142" t="n"/>
      <c r="AC18" s="142" t="n"/>
      <c r="AD18" s="142" t="n"/>
      <c r="AE18" s="142" t="n"/>
      <c r="AF18" s="142" t="n"/>
      <c r="AH18" s="81" t="n"/>
      <c r="AI18" s="81" t="n"/>
      <c r="AJ18" s="81" t="n"/>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CET 03/24 - 04/07</t>
        </is>
      </c>
      <c r="AI23" s="65" t="n">
        <v>0.1549295774647887</v>
      </c>
      <c r="AJ23" s="65" t="n">
        <v>0</v>
      </c>
      <c r="AM23" s="65" t="inlineStr">
        <is>
          <t>CET 03/24 - 04/07</t>
        </is>
      </c>
      <c r="AN23" s="65" t="n">
        <v>2.5</v>
      </c>
      <c r="AO23" s="65" t="n">
        <v>0.3943661971830986</v>
      </c>
    </row>
    <row r="24" ht="18" customHeight="1">
      <c r="AB24" s="142" t="n"/>
      <c r="AC24" s="142" t="n"/>
      <c r="AD24" s="142" t="n"/>
      <c r="AE24" s="142" t="n"/>
      <c r="AF24" s="142" t="n"/>
      <c r="AH24" s="65" t="inlineStr">
        <is>
          <t>CET 04/07 - 04/21</t>
        </is>
      </c>
      <c r="AI24" s="65" t="n">
        <v>0.391304347826087</v>
      </c>
      <c r="AJ24" s="65" t="n">
        <v>0</v>
      </c>
      <c r="AM24" s="65" t="inlineStr">
        <is>
          <t>CET 04/07 - 04/21</t>
        </is>
      </c>
      <c r="AN24" s="65" t="n">
        <v>0</v>
      </c>
      <c r="AO24" s="65" t="n">
        <v>1.021739130434783</v>
      </c>
    </row>
    <row r="25" ht="18" customHeight="1">
      <c r="R25" s="264" t="n"/>
      <c r="AB25" s="142" t="n"/>
      <c r="AC25" s="142" t="n"/>
      <c r="AD25" s="142" t="n"/>
      <c r="AE25" s="142" t="n"/>
      <c r="AF25" s="142" t="n"/>
      <c r="AH25" s="65" t="inlineStr">
        <is>
          <t>CET 05/05 - 05/19</t>
        </is>
      </c>
      <c r="AI25" s="65" t="n">
        <v>0.3023255813953488</v>
      </c>
      <c r="AJ25" s="65" t="n">
        <v>0</v>
      </c>
      <c r="AM25" s="65" t="inlineStr">
        <is>
          <t>CET 05/05 - 05/19</t>
        </is>
      </c>
      <c r="AN25" s="65" t="n">
        <v>0.75</v>
      </c>
      <c r="AO25" s="65" t="n">
        <v>0.3488372093023256</v>
      </c>
    </row>
    <row r="26" ht="18" customHeight="1">
      <c r="R26" s="273" t="n"/>
      <c r="S26" s="270" t="n"/>
      <c r="AB26" s="142" t="n"/>
      <c r="AC26" s="142" t="n"/>
      <c r="AD26" s="142" t="n"/>
      <c r="AE26" s="142" t="n"/>
      <c r="AF26" s="142" t="n"/>
      <c r="AH26" s="65" t="inlineStr">
        <is>
          <t>CET 05/19 - 06/02</t>
        </is>
      </c>
      <c r="AI26" s="65" t="n">
        <v>0.2702702702702703</v>
      </c>
      <c r="AJ26" s="65" t="n">
        <v>0</v>
      </c>
      <c r="AM26" s="65" t="inlineStr">
        <is>
          <t>CET 05/19 - 06/02</t>
        </is>
      </c>
      <c r="AN26" s="65" t="n">
        <v>0</v>
      </c>
      <c r="AO26" s="65" t="n">
        <v>0.8484848484848485</v>
      </c>
    </row>
    <row r="27" ht="18" customHeight="1">
      <c r="R27" s="274" t="n"/>
      <c r="S27" s="270" t="n"/>
      <c r="AB27" s="142" t="n"/>
      <c r="AC27" s="142" t="n"/>
      <c r="AD27" s="142" t="n"/>
      <c r="AE27" s="142" t="n"/>
      <c r="AF27" s="142" t="n"/>
      <c r="AH27" s="65" t="inlineStr">
        <is>
          <t>Grand Total</t>
        </is>
      </c>
      <c r="AI27" s="65" t="n">
        <v>1.118829776956495</v>
      </c>
      <c r="AJ27" s="65" t="n">
        <v>0</v>
      </c>
      <c r="AM27" s="65" t="inlineStr">
        <is>
          <t>Grand Total</t>
        </is>
      </c>
      <c r="AN27" s="65" t="n">
        <v>3.25</v>
      </c>
      <c r="AO27" s="65" t="n">
        <v>2.613427385405055</v>
      </c>
    </row>
    <row r="28" ht="18" customHeight="1">
      <c r="R28" s="263" t="n"/>
      <c r="AB28" s="142" t="n"/>
      <c r="AC28" s="142" t="n"/>
      <c r="AD28" s="142" t="n"/>
      <c r="AE28" s="142" t="n"/>
      <c r="AF28" s="142" t="n"/>
    </row>
    <row r="29" ht="18" customHeight="1">
      <c r="R29" s="263" t="n"/>
      <c r="AB29" s="142" t="n"/>
      <c r="AC29" s="142" t="n"/>
      <c r="AD29" s="142" t="n"/>
      <c r="AE29" s="142" t="n"/>
      <c r="AF29" s="142" t="n"/>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t="n"/>
      <c r="AI41" s="142" t="n"/>
      <c r="AJ41" s="142" t="n"/>
      <c r="AL41" s="81" t="n"/>
      <c r="AM41" s="81" t="n"/>
      <c r="AN41" s="81" t="n"/>
    </row>
    <row r="42" ht="18" customHeight="1">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CET 03/24 - 04/07</t>
        </is>
      </c>
      <c r="AM48" s="64" t="n">
        <v>0.6886792452830188</v>
      </c>
    </row>
    <row r="49" ht="18" customHeight="1">
      <c r="AB49" s="142" t="n"/>
      <c r="AC49" s="142" t="n"/>
      <c r="AD49" s="142" t="n"/>
      <c r="AE49" s="142" t="n"/>
      <c r="AF49" s="142" t="n"/>
      <c r="AL49" s="64" t="inlineStr">
        <is>
          <t>CET 04/07 - 04/21</t>
        </is>
      </c>
      <c r="AM49" s="64" t="n">
        <v>0</v>
      </c>
    </row>
    <row r="50" ht="18" customHeight="1">
      <c r="AB50" s="142" t="n"/>
      <c r="AC50" s="142" t="n"/>
      <c r="AD50" s="142" t="n"/>
      <c r="AE50" s="142" t="n"/>
      <c r="AF50" s="142" t="n"/>
      <c r="AH50" s="64" t="inlineStr">
        <is>
          <t>Sprint</t>
        </is>
      </c>
      <c r="AI50" s="81" t="inlineStr">
        <is>
          <t>V2</t>
        </is>
      </c>
      <c r="AJ50" s="81" t="inlineStr">
        <is>
          <t>LT</t>
        </is>
      </c>
      <c r="AL50" s="64" t="inlineStr">
        <is>
          <t>CET 05/05 - 05/19</t>
        </is>
      </c>
      <c r="AM50" s="64" t="n">
        <v>0</v>
      </c>
    </row>
    <row r="51" ht="18" customHeight="1">
      <c r="AB51" s="142" t="n"/>
      <c r="AC51" s="142" t="n"/>
      <c r="AD51" s="142" t="n"/>
      <c r="AE51" s="142" t="n"/>
      <c r="AF51" s="142" t="n"/>
      <c r="AH51" s="64" t="inlineStr">
        <is>
          <t>CET 03/24 - 04/07</t>
        </is>
      </c>
      <c r="AI51" s="293" t="n">
        <v>2</v>
      </c>
      <c r="AJ51" s="293" t="n">
        <v>71</v>
      </c>
      <c r="AL51" s="64" t="inlineStr">
        <is>
          <t>CET 05/19 - 06/02</t>
        </is>
      </c>
      <c r="AM51" s="64" t="n">
        <v>0</v>
      </c>
    </row>
    <row r="52" ht="18" customHeight="1">
      <c r="AB52" s="142" t="n"/>
      <c r="AC52" s="142" t="n"/>
      <c r="AD52" s="142" t="n"/>
      <c r="AE52" s="142" t="n"/>
      <c r="AF52" s="142" t="n"/>
      <c r="AH52" s="64" t="inlineStr">
        <is>
          <t>CET 04/07 - 04/21</t>
        </is>
      </c>
      <c r="AI52" s="293" t="n">
        <v>10</v>
      </c>
      <c r="AJ52" s="293" t="n">
        <v>46</v>
      </c>
      <c r="AL52" s="65" t="inlineStr">
        <is>
          <t>Grand Total</t>
        </is>
      </c>
      <c r="AM52" s="65" t="n">
        <v>0.6886792452830188</v>
      </c>
    </row>
    <row r="53" ht="18" customHeight="1">
      <c r="AB53" s="142" t="n"/>
      <c r="AC53" s="142" t="n"/>
      <c r="AD53" s="142" t="n"/>
      <c r="AE53" s="142" t="n"/>
      <c r="AF53" s="142" t="n"/>
      <c r="AH53" s="64" t="inlineStr">
        <is>
          <t>CET 05/05 - 05/19</t>
        </is>
      </c>
      <c r="AI53" s="81" t="n">
        <v>4</v>
      </c>
      <c r="AJ53" s="81" t="n">
        <v>43</v>
      </c>
    </row>
    <row r="54" ht="18" customHeight="1">
      <c r="AB54" s="142" t="n"/>
      <c r="AC54" s="142" t="n"/>
      <c r="AD54" s="142" t="n"/>
      <c r="AE54" s="142" t="n"/>
      <c r="AF54" s="142" t="n"/>
      <c r="AH54" s="64" t="inlineStr">
        <is>
          <t>CET 05/19 - 06/02</t>
        </is>
      </c>
      <c r="AI54" s="81" t="n">
        <v>5</v>
      </c>
      <c r="AJ54" s="81" t="n">
        <v>33</v>
      </c>
    </row>
    <row r="55" ht="18" customHeight="1">
      <c r="AB55" s="142" t="n"/>
      <c r="AC55" s="142" t="n"/>
      <c r="AD55" s="142" t="n"/>
      <c r="AE55" s="142" t="n"/>
      <c r="AF55" s="142" t="n"/>
      <c r="AH55" s="64" t="n"/>
      <c r="AI55" s="81" t="n"/>
      <c r="AJ55" s="81" t="n"/>
    </row>
    <row r="56" ht="18" customHeight="1">
      <c r="AB56" s="142" t="n"/>
      <c r="AC56" s="142" t="n"/>
      <c r="AD56" s="142" t="n"/>
      <c r="AE56" s="142" t="n"/>
      <c r="AF56" s="142" t="n"/>
      <c r="AH56" s="64" t="n"/>
      <c r="AI56" s="81" t="n"/>
      <c r="AJ56" s="81" t="n"/>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CET 03/24 - 04/07</t>
        </is>
      </c>
      <c r="AI62" s="293" t="n">
        <v>0</v>
      </c>
      <c r="AJ62" s="293" t="n">
        <v>11</v>
      </c>
      <c r="AL62" s="81">
        <f>AL51</f>
        <v/>
      </c>
      <c r="AM62" s="142">
        <f>AM51</f>
        <v/>
      </c>
    </row>
    <row r="63" ht="18" customHeight="1">
      <c r="AB63" s="142" t="n"/>
      <c r="AC63" s="142" t="n"/>
      <c r="AD63" s="142" t="n"/>
      <c r="AE63" s="142" t="n"/>
      <c r="AF63" s="142" t="n"/>
      <c r="AH63" s="64" t="inlineStr">
        <is>
          <t>CET 04/07 - 04/21</t>
        </is>
      </c>
      <c r="AI63" s="293" t="n">
        <v>0</v>
      </c>
      <c r="AJ63" s="293" t="n">
        <v>18</v>
      </c>
      <c r="AL63" s="81">
        <f>AL52</f>
        <v/>
      </c>
      <c r="AM63" s="142">
        <f>AM52</f>
        <v/>
      </c>
    </row>
    <row r="64" ht="18" customHeight="1">
      <c r="AB64" s="142" t="n"/>
      <c r="AC64" s="142" t="n"/>
      <c r="AD64" s="142" t="n"/>
      <c r="AE64" s="142" t="n"/>
      <c r="AF64" s="142" t="n"/>
      <c r="AH64" s="64" t="inlineStr">
        <is>
          <t>CET 05/05 - 05/19</t>
        </is>
      </c>
      <c r="AI64" s="81" t="n">
        <v>0</v>
      </c>
      <c r="AJ64" s="81" t="n">
        <v>13</v>
      </c>
      <c r="AL64" s="81">
        <f>AL53</f>
        <v/>
      </c>
      <c r="AM64" s="142">
        <f>AM53</f>
        <v/>
      </c>
    </row>
    <row r="65" ht="18" customHeight="1">
      <c r="AB65" s="142" t="n"/>
      <c r="AC65" s="142" t="n"/>
      <c r="AD65" s="142" t="n"/>
      <c r="AE65" s="142" t="n"/>
      <c r="AF65" s="142" t="n"/>
      <c r="AH65" s="64" t="inlineStr">
        <is>
          <t>CET 05/19 - 06/02</t>
        </is>
      </c>
      <c r="AI65" s="81" t="n">
        <v>0</v>
      </c>
      <c r="AJ65" s="81" t="n">
        <v>10</v>
      </c>
      <c r="AL65" s="81" t="n"/>
      <c r="AM65" s="142" t="n"/>
    </row>
    <row r="66" ht="18" customHeight="1">
      <c r="AB66" s="142" t="n"/>
      <c r="AC66" s="142" t="n"/>
      <c r="AD66" s="142" t="n"/>
      <c r="AE66" s="142" t="n"/>
      <c r="AF66" s="142" t="n"/>
      <c r="AH66" s="64" t="n"/>
      <c r="AI66" s="292" t="n"/>
      <c r="AJ66" s="292" t="n"/>
      <c r="AL66" s="81" t="n"/>
      <c r="AM66" s="81" t="n"/>
    </row>
    <row r="67" ht="18" customHeight="1">
      <c r="AB67" s="142" t="n"/>
      <c r="AC67" s="142" t="n"/>
      <c r="AD67" s="142" t="n"/>
      <c r="AE67" s="142" t="n"/>
      <c r="AF67" s="142" t="n"/>
      <c r="AH67" s="64" t="n"/>
      <c r="AI67" s="292" t="n"/>
      <c r="AJ67" s="292" t="n"/>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CET 03/24 - 04/07</t>
        </is>
      </c>
      <c r="AI72" s="293" t="n">
        <v>5</v>
      </c>
      <c r="AJ72" s="293" t="n">
        <v>28</v>
      </c>
    </row>
    <row r="73" ht="18" customHeight="1">
      <c r="AB73" s="142" t="n"/>
      <c r="AC73" s="142" t="n"/>
      <c r="AD73" s="142" t="n"/>
      <c r="AE73" s="142" t="n"/>
      <c r="AF73" s="142" t="n"/>
      <c r="AH73" s="64" t="inlineStr">
        <is>
          <t>CET 04/07 - 04/21</t>
        </is>
      </c>
      <c r="AI73" s="293" t="n">
        <v>0</v>
      </c>
      <c r="AJ73" s="293" t="n">
        <v>47</v>
      </c>
    </row>
    <row r="74" ht="18" customHeight="1">
      <c r="AB74" s="142" t="n"/>
      <c r="AC74" s="142" t="n"/>
      <c r="AD74" s="142" t="n"/>
      <c r="AE74" s="142" t="n"/>
      <c r="AF74" s="142" t="n"/>
      <c r="AH74" s="64" t="inlineStr">
        <is>
          <t>CET 05/05 - 05/19</t>
        </is>
      </c>
      <c r="AI74" s="81" t="n">
        <v>3</v>
      </c>
      <c r="AJ74" s="81" t="n">
        <v>15</v>
      </c>
    </row>
    <row r="75" ht="18" customHeight="1">
      <c r="AB75" s="142" t="n"/>
      <c r="AC75" s="142" t="n"/>
      <c r="AD75" s="142" t="n"/>
      <c r="AE75" s="142" t="n"/>
      <c r="AF75" s="142" t="n"/>
      <c r="AH75" s="64" t="inlineStr">
        <is>
          <t>CET 05/19 - 06/02</t>
        </is>
      </c>
      <c r="AI75" s="81" t="n">
        <v>0</v>
      </c>
      <c r="AJ75" s="81" t="n">
        <v>28</v>
      </c>
    </row>
    <row r="76" ht="18" customHeight="1">
      <c r="AH76" s="64" t="n"/>
      <c r="AI76" s="81" t="n"/>
      <c r="AJ76" s="81" t="n"/>
    </row>
    <row r="77" ht="18" customHeight="1">
      <c r="AH77" s="64" t="n"/>
      <c r="AI77" s="81" t="n"/>
      <c r="AJ77" s="81" t="n"/>
    </row>
    <row r="78" ht="18" customHeight="1">
      <c r="AH78" s="81" t="n"/>
      <c r="AI78" s="64" t="n"/>
      <c r="AJ78" s="64" t="n"/>
    </row>
    <row r="79" ht="18" customHeight="1">
      <c r="AH79" s="81" t="n"/>
      <c r="AI79" s="64" t="n"/>
      <c r="AJ79" s="64" t="n"/>
    </row>
  </sheetData>
  <mergeCells count="11">
    <mergeCell ref="D8:E8"/>
    <mergeCell ref="D7:E7"/>
    <mergeCell ref="L7:M7"/>
    <mergeCell ref="D10:E10"/>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Y68"/>
  <sheetViews>
    <sheetView zoomScale="115" zoomScaleNormal="115" workbookViewId="0">
      <pane ySplit="1" topLeftCell="A41" activePane="bottomLeft" state="frozen"/>
      <selection pane="bottomLeft" activeCell="L67" sqref="L67"/>
      <selection activeCell="B1" sqref="B1"/>
    </sheetView>
  </sheetViews>
  <sheetFormatPr baseColWidth="8" defaultRowHeight="15"/>
  <cols>
    <col width="20.85546875" bestFit="1" customWidth="1" min="3" max="3"/>
    <col width="10.42578125" bestFit="1" customWidth="1" min="14" max="14"/>
    <col width="26"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1.85546875" bestFit="1" customWidth="1" min="36" max="36"/>
    <col width="33.42578125" bestFit="1" customWidth="1" min="37" max="37"/>
    <col width="28.140625" bestFit="1" customWidth="1" min="38" max="38"/>
    <col width="22.28515625" bestFit="1" customWidth="1" min="39" max="39"/>
    <col width="21.8554687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73" t="inlineStr">
        <is>
          <t>2025: PHX 07/1 - 07/31</t>
        </is>
      </c>
      <c r="S2" s="46" t="n">
        <v>51</v>
      </c>
      <c r="T2" s="46" t="n">
        <v>51</v>
      </c>
      <c r="U2" s="46" t="n">
        <v>14</v>
      </c>
      <c r="V2" s="46">
        <f>T2-U2</f>
        <v/>
      </c>
      <c r="W2" s="46" t="n">
        <v>2</v>
      </c>
      <c r="X2" s="46" t="n">
        <v>5</v>
      </c>
      <c r="Y2" s="46" t="n">
        <v>0</v>
      </c>
      <c r="Z2" s="46" t="n">
        <v>0</v>
      </c>
      <c r="AA2" s="46">
        <f>U2-W2</f>
        <v/>
      </c>
      <c r="AB2" s="47">
        <f>W2/U2</f>
        <v/>
      </c>
      <c r="AC2" s="47">
        <f>X2/V2</f>
        <v/>
      </c>
      <c r="AD2" s="47">
        <f>Y2/U2</f>
        <v/>
      </c>
      <c r="AE2" s="47">
        <f>Z2/V2</f>
        <v/>
      </c>
      <c r="AF2" s="47">
        <f>T2/S2</f>
        <v/>
      </c>
      <c r="AG2" s="46" t="n">
        <v>0</v>
      </c>
      <c r="AJ2" s="2" t="inlineStr">
        <is>
          <t>2025: PHX 12/1 - 12/31</t>
        </is>
      </c>
      <c r="AK2" t="n">
        <v>21</v>
      </c>
      <c r="AL2" t="n">
        <v>29</v>
      </c>
      <c r="AN2" s="2" t="inlineStr">
        <is>
          <t>2025: PHX 12/1 - 12/31</t>
        </is>
      </c>
      <c r="AO2" t="n">
        <v>6</v>
      </c>
      <c r="AP2" t="n">
        <v>15</v>
      </c>
      <c r="AU2" t="inlineStr">
        <is>
          <t>Green</t>
        </is>
      </c>
      <c r="AW2" s="250" t="n"/>
      <c r="AX2" s="124" t="n"/>
      <c r="AY2" s="251" t="n"/>
    </row>
    <row r="3">
      <c r="B3" s="17" t="n"/>
      <c r="O3" s="10" t="n"/>
      <c r="R3" s="73" t="inlineStr">
        <is>
          <t>2025: PHX 08/1 - 08/31</t>
        </is>
      </c>
      <c r="S3" s="46" t="n">
        <v>41</v>
      </c>
      <c r="T3" s="46" t="n">
        <v>41</v>
      </c>
      <c r="U3" s="46" t="n">
        <v>13</v>
      </c>
      <c r="V3" s="46">
        <f>T3-U3</f>
        <v/>
      </c>
      <c r="W3" s="46" t="n">
        <v>3</v>
      </c>
      <c r="X3" s="46" t="n">
        <v>4</v>
      </c>
      <c r="Y3" s="46" t="n">
        <v>0</v>
      </c>
      <c r="Z3" s="46" t="n">
        <v>0</v>
      </c>
      <c r="AA3" s="46">
        <f>U3-W3</f>
        <v/>
      </c>
      <c r="AB3" s="47">
        <f>W3/U3</f>
        <v/>
      </c>
      <c r="AC3" s="47">
        <f>X3/V3</f>
        <v/>
      </c>
      <c r="AD3" s="47">
        <f>Y3/U3</f>
        <v/>
      </c>
      <c r="AE3" s="47">
        <f>Z3/V3</f>
        <v/>
      </c>
      <c r="AF3" s="47">
        <f>T3/S3</f>
        <v/>
      </c>
      <c r="AG3" s="46" t="n">
        <v>3</v>
      </c>
      <c r="AJ3" s="2" t="inlineStr">
        <is>
          <t>2026: PHX 01/1 - 01/31</t>
        </is>
      </c>
      <c r="AK3" t="n">
        <v>17</v>
      </c>
      <c r="AL3" t="n">
        <v>50</v>
      </c>
      <c r="AN3" s="2" t="inlineStr">
        <is>
          <t>2026: PHX 01/1 - 01/31</t>
        </is>
      </c>
      <c r="AO3" t="n">
        <v>0</v>
      </c>
      <c r="AP3" t="n">
        <v>17</v>
      </c>
      <c r="AU3" t="inlineStr">
        <is>
          <t>Red</t>
        </is>
      </c>
      <c r="AW3" s="250" t="n"/>
      <c r="AX3" s="124" t="n"/>
      <c r="AY3" s="251" t="n"/>
    </row>
    <row r="4">
      <c r="B4" s="17" t="n"/>
      <c r="O4" s="10" t="n"/>
      <c r="R4" s="73" t="inlineStr">
        <is>
          <t>2025: PHX 09/1 - 09/30</t>
        </is>
      </c>
      <c r="S4" s="46" t="n">
        <v>36</v>
      </c>
      <c r="T4" s="46" t="n">
        <v>36</v>
      </c>
      <c r="U4" s="46" t="n">
        <v>10</v>
      </c>
      <c r="V4" s="46" t="n">
        <v>26</v>
      </c>
      <c r="W4" s="46" t="n">
        <v>0</v>
      </c>
      <c r="X4" s="46" t="n">
        <v>2</v>
      </c>
      <c r="Y4" s="46" t="n">
        <v>0</v>
      </c>
      <c r="Z4" s="46" t="n">
        <v>0</v>
      </c>
      <c r="AA4" s="46">
        <f>U4-W4</f>
        <v/>
      </c>
      <c r="AB4" s="47">
        <f>W4/U4</f>
        <v/>
      </c>
      <c r="AC4" s="47">
        <f>X4/V4</f>
        <v/>
      </c>
      <c r="AD4" s="47">
        <f>Y4/U4</f>
        <v/>
      </c>
      <c r="AE4" s="47">
        <f>Z4/V4</f>
        <v/>
      </c>
      <c r="AF4" s="47">
        <f>T4/S4</f>
        <v/>
      </c>
      <c r="AG4" s="64" t="n"/>
      <c r="AJ4" s="2" t="inlineStr">
        <is>
          <t>2026: PHX 2/1 - 2/28</t>
        </is>
      </c>
      <c r="AK4" t="n">
        <v>11</v>
      </c>
      <c r="AL4" t="n">
        <v>36</v>
      </c>
      <c r="AN4" s="2" t="inlineStr">
        <is>
          <t>2026: PHX 2/1 - 2/28</t>
        </is>
      </c>
      <c r="AO4" t="n">
        <v>2</v>
      </c>
      <c r="AP4" t="n">
        <v>9</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73" t="inlineStr">
        <is>
          <t>2025: PHX 10/1 - 10/31</t>
        </is>
      </c>
      <c r="S5" s="46" t="n">
        <v>59</v>
      </c>
      <c r="T5" s="46" t="n">
        <v>59</v>
      </c>
      <c r="U5" s="46" t="n">
        <v>16</v>
      </c>
      <c r="V5" s="46" t="n">
        <v>43</v>
      </c>
      <c r="W5" s="46" t="n">
        <v>2</v>
      </c>
      <c r="X5" s="46" t="n">
        <v>9</v>
      </c>
      <c r="Y5" s="46" t="n">
        <v>0</v>
      </c>
      <c r="Z5" s="46" t="n">
        <v>0</v>
      </c>
      <c r="AA5" s="46">
        <f>U5-W5</f>
        <v/>
      </c>
      <c r="AB5" s="47">
        <f>W5/U5</f>
        <v/>
      </c>
      <c r="AC5" s="47">
        <f>X5/V5</f>
        <v/>
      </c>
      <c r="AD5" s="47">
        <f>Y5/U5</f>
        <v/>
      </c>
      <c r="AE5" s="47">
        <f>Z5/V5</f>
        <v/>
      </c>
      <c r="AF5" s="47">
        <f>T5/S5</f>
        <v/>
      </c>
      <c r="AG5" s="64" t="n"/>
      <c r="AJ5" s="2" t="inlineStr">
        <is>
          <t>2026: PHX 3/1 - 3/31</t>
        </is>
      </c>
      <c r="AK5" t="n">
        <v>14</v>
      </c>
      <c r="AL5" t="n">
        <v>49</v>
      </c>
      <c r="AN5" s="2" t="inlineStr">
        <is>
          <t>2026: PHX 3/1 - 3/31</t>
        </is>
      </c>
      <c r="AO5" t="n">
        <v>2</v>
      </c>
      <c r="AP5" t="n">
        <v>12</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46174</v>
      </c>
      <c r="O6" s="206" t="n"/>
      <c r="R6" s="37" t="inlineStr">
        <is>
          <t>2025: PHX 11/1 - 11/30</t>
        </is>
      </c>
      <c r="S6" s="46" t="n">
        <v>68</v>
      </c>
      <c r="T6" s="46" t="n">
        <v>68</v>
      </c>
      <c r="U6" s="46" t="n">
        <v>17</v>
      </c>
      <c r="V6" s="46">
        <f>T6-U6</f>
        <v/>
      </c>
      <c r="W6" s="46" t="n">
        <v>3</v>
      </c>
      <c r="X6" s="46" t="n">
        <v>9</v>
      </c>
      <c r="Y6" s="46" t="n">
        <v>0</v>
      </c>
      <c r="Z6" s="46" t="n">
        <v>0</v>
      </c>
      <c r="AA6" s="46">
        <f>U6-W6</f>
        <v/>
      </c>
      <c r="AB6" s="47">
        <f>W6/U6</f>
        <v/>
      </c>
      <c r="AC6" s="47">
        <f>X6/V6</f>
        <v/>
      </c>
      <c r="AD6" s="47">
        <f>Y6/U6</f>
        <v/>
      </c>
      <c r="AE6" s="47">
        <f>Z6/V6</f>
        <v/>
      </c>
      <c r="AF6" s="47">
        <f>T6/S6</f>
        <v/>
      </c>
      <c r="AG6" s="46" t="n">
        <v>2</v>
      </c>
      <c r="AJ6" s="2" t="inlineStr">
        <is>
          <t>2026: PHX 4/1 - 4/30</t>
        </is>
      </c>
      <c r="AK6" t="n">
        <v>21</v>
      </c>
      <c r="AL6" t="n">
        <v>58</v>
      </c>
      <c r="AN6" s="2" t="inlineStr">
        <is>
          <t>2026: PHX 4/1 - 4/30</t>
        </is>
      </c>
      <c r="AO6" t="n">
        <v>1</v>
      </c>
      <c r="AP6" t="n">
        <v>20</v>
      </c>
      <c r="AW6" s="250" t="n"/>
      <c r="AX6" s="124" t="n"/>
      <c r="AY6" s="251" t="n"/>
    </row>
    <row r="7">
      <c r="B7" s="202" t="n"/>
      <c r="C7" s="100" t="inlineStr">
        <is>
          <t>Sub Project</t>
        </is>
      </c>
      <c r="D7" s="304" t="inlineStr">
        <is>
          <t>Phoenix</t>
        </is>
      </c>
      <c r="F7" s="225" t="n"/>
      <c r="G7" s="225" t="n"/>
      <c r="H7" s="207" t="n"/>
      <c r="I7" s="207" t="n"/>
      <c r="J7" s="208" t="n"/>
      <c r="K7" s="208" t="n"/>
      <c r="L7" s="209" t="n"/>
      <c r="M7" s="209" t="n"/>
      <c r="N7" s="209" t="n"/>
      <c r="O7" s="206" t="n"/>
      <c r="R7" s="37" t="inlineStr">
        <is>
          <t>2025: PHX 12/1 - 12/31</t>
        </is>
      </c>
      <c r="S7" s="46" t="n">
        <v>50</v>
      </c>
      <c r="T7" s="46" t="n">
        <v>50</v>
      </c>
      <c r="U7" s="46" t="n">
        <v>21</v>
      </c>
      <c r="V7" s="46">
        <f>T7-U7</f>
        <v/>
      </c>
      <c r="W7" s="46" t="n">
        <v>6</v>
      </c>
      <c r="X7" s="46" t="n">
        <v>4</v>
      </c>
      <c r="Y7" s="46" t="n">
        <v>0</v>
      </c>
      <c r="Z7" s="46" t="n">
        <v>0</v>
      </c>
      <c r="AA7" s="46">
        <f>U7-W7</f>
        <v/>
      </c>
      <c r="AB7" s="47">
        <f>W7/U7</f>
        <v/>
      </c>
      <c r="AC7" s="47">
        <f>X7/V7</f>
        <v/>
      </c>
      <c r="AD7" s="47">
        <f>Y7/U7</f>
        <v/>
      </c>
      <c r="AE7" s="47">
        <f>Z7/V7</f>
        <v/>
      </c>
      <c r="AF7" s="47">
        <f>T7/S7</f>
        <v/>
      </c>
      <c r="AG7" s="46" t="n"/>
      <c r="AJ7" s="2" t="inlineStr">
        <is>
          <t>2026: PHX 5/1 - 5/31</t>
        </is>
      </c>
      <c r="AK7" t="n">
        <v>14</v>
      </c>
      <c r="AL7" t="n">
        <v>70</v>
      </c>
      <c r="AN7" s="2" t="inlineStr">
        <is>
          <t>2026: PHX 5/1 - 5/31</t>
        </is>
      </c>
      <c r="AO7" t="n">
        <v>3</v>
      </c>
      <c r="AP7" t="n">
        <v>11</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37" t="inlineStr">
        <is>
          <t>2026: PHX 01/1 - 01/31</t>
        </is>
      </c>
      <c r="S8" s="46" t="n">
        <v>67</v>
      </c>
      <c r="T8" s="46" t="n">
        <v>67</v>
      </c>
      <c r="U8" s="46" t="n">
        <v>17</v>
      </c>
      <c r="V8" s="46">
        <f>T8-U8</f>
        <v/>
      </c>
      <c r="W8" s="46" t="n">
        <v>0</v>
      </c>
      <c r="X8" s="46" t="n">
        <v>2</v>
      </c>
      <c r="Y8" s="46" t="n">
        <v>0</v>
      </c>
      <c r="Z8" s="46" t="n">
        <v>0</v>
      </c>
      <c r="AA8" s="46">
        <f>U8-W8</f>
        <v/>
      </c>
      <c r="AB8" s="47">
        <f>W8/U8</f>
        <v/>
      </c>
      <c r="AC8" s="47">
        <f>X8/V8</f>
        <v/>
      </c>
      <c r="AD8" s="47">
        <f>Y8/U8</f>
        <v/>
      </c>
      <c r="AE8" s="47">
        <f>Z8/V8</f>
        <v/>
      </c>
      <c r="AF8" s="47">
        <f>T8/S8</f>
        <v/>
      </c>
      <c r="AG8" s="46" t="n"/>
      <c r="AJ8" s="2" t="inlineStr">
        <is>
          <t>Grand Total</t>
        </is>
      </c>
      <c r="AK8" t="n">
        <v>98</v>
      </c>
      <c r="AL8" t="n">
        <v>292</v>
      </c>
      <c r="AN8" s="2" t="inlineStr">
        <is>
          <t>Grand Total</t>
        </is>
      </c>
      <c r="AO8" t="n">
        <v>14</v>
      </c>
      <c r="AP8" t="n">
        <v>84</v>
      </c>
      <c r="AW8" s="250" t="n"/>
      <c r="AX8" s="124" t="n"/>
      <c r="AY8" s="251" t="n"/>
    </row>
    <row r="9">
      <c r="B9" s="202" t="n"/>
      <c r="C9" s="100" t="inlineStr">
        <is>
          <t>Project Manager/Lead</t>
        </is>
      </c>
      <c r="D9" s="304" t="inlineStr">
        <is>
          <t>Kunal Badgujar</t>
        </is>
      </c>
      <c r="F9" s="203" t="n"/>
      <c r="G9" s="203" t="n"/>
      <c r="H9" s="205" t="n"/>
      <c r="I9" s="205" t="n"/>
      <c r="J9" s="205" t="n"/>
      <c r="K9" s="205" t="n"/>
      <c r="L9" s="205" t="n"/>
      <c r="M9" s="205" t="n"/>
      <c r="N9" s="205" t="n"/>
      <c r="O9" s="206" t="n"/>
      <c r="R9" s="73" t="inlineStr">
        <is>
          <t>2026: PHX 2/1 - 2/28</t>
        </is>
      </c>
      <c r="S9" s="72" t="n">
        <v>47</v>
      </c>
      <c r="T9" s="72" t="n">
        <v>47</v>
      </c>
      <c r="U9" s="72" t="n">
        <v>11</v>
      </c>
      <c r="V9" s="46">
        <f>T9-U9</f>
        <v/>
      </c>
      <c r="W9" s="72" t="n">
        <v>2</v>
      </c>
      <c r="X9" s="72" t="n">
        <v>5</v>
      </c>
      <c r="Y9" s="46" t="n">
        <v>0</v>
      </c>
      <c r="Z9" s="46" t="n">
        <v>0</v>
      </c>
      <c r="AA9" s="46">
        <f>U9-W9</f>
        <v/>
      </c>
      <c r="AB9" s="47">
        <f>W9/U9</f>
        <v/>
      </c>
      <c r="AC9" s="47">
        <f>X9/V9</f>
        <v/>
      </c>
      <c r="AD9" s="47">
        <f>Y9/U9</f>
        <v/>
      </c>
      <c r="AE9" s="47">
        <f>Z9/V9</f>
        <v/>
      </c>
      <c r="AF9" s="47">
        <f>T9/S9</f>
        <v/>
      </c>
      <c r="AG9" s="46" t="n"/>
      <c r="AW9" s="250" t="n"/>
      <c r="AX9" s="124" t="n"/>
      <c r="AY9" s="251" t="n"/>
    </row>
    <row r="10">
      <c r="B10" s="202" t="n"/>
      <c r="C10" s="100" t="inlineStr">
        <is>
          <t>Client POC</t>
        </is>
      </c>
      <c r="D10" s="304" t="inlineStr">
        <is>
          <t>Douglas Brown</t>
        </is>
      </c>
      <c r="F10" s="203" t="n"/>
      <c r="G10" s="203" t="n"/>
      <c r="H10" s="205" t="n"/>
      <c r="I10" s="205" t="n"/>
      <c r="J10" s="205" t="n"/>
      <c r="K10" s="205" t="n"/>
      <c r="L10" s="205" t="n"/>
      <c r="M10" s="205" t="n"/>
      <c r="N10" s="205" t="n"/>
      <c r="O10" s="206" t="n"/>
      <c r="R10" s="73" t="inlineStr">
        <is>
          <t>2026: PHX 3/1 - 3/31</t>
        </is>
      </c>
      <c r="S10" s="72" t="n">
        <v>63</v>
      </c>
      <c r="T10" s="72" t="n">
        <v>63</v>
      </c>
      <c r="U10" s="72" t="n">
        <v>14</v>
      </c>
      <c r="V10" s="46">
        <f>T10-U10</f>
        <v/>
      </c>
      <c r="W10" s="72" t="n">
        <v>2</v>
      </c>
      <c r="X10" s="72" t="n">
        <v>10</v>
      </c>
      <c r="Y10" s="46" t="n">
        <v>0</v>
      </c>
      <c r="Z10" s="46" t="n">
        <v>0</v>
      </c>
      <c r="AA10" s="46">
        <f>U10-W10</f>
        <v/>
      </c>
      <c r="AB10" s="47">
        <f>W10/U10</f>
        <v/>
      </c>
      <c r="AC10" s="47">
        <f>X10/V10</f>
        <v/>
      </c>
      <c r="AD10" s="47">
        <f>Y10/U10</f>
        <v/>
      </c>
      <c r="AE10" s="47">
        <f>Z10/V10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73" t="inlineStr">
        <is>
          <t>2026: PHX 4/1 - 4/30</t>
        </is>
      </c>
      <c r="S11" s="46" t="n">
        <v>79</v>
      </c>
      <c r="T11" s="46" t="n">
        <v>79</v>
      </c>
      <c r="U11" s="46" t="n">
        <v>21</v>
      </c>
      <c r="V11" s="46">
        <f>T11-U11</f>
        <v/>
      </c>
      <c r="W11" s="46" t="n">
        <v>1</v>
      </c>
      <c r="X11" s="46" t="n">
        <v>6</v>
      </c>
      <c r="Y11" s="46" t="n">
        <v>0</v>
      </c>
      <c r="Z11" s="46" t="n">
        <v>0</v>
      </c>
      <c r="AA11" s="46">
        <f>U11-W11</f>
        <v/>
      </c>
      <c r="AB11" s="47">
        <f>W11/U11</f>
        <v/>
      </c>
      <c r="AC11" s="47">
        <f>X11/V11</f>
        <v/>
      </c>
      <c r="AD11" s="47">
        <f>Y11/U11</f>
        <v/>
      </c>
      <c r="AE11" s="47">
        <f>Z11/V11</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73" t="inlineStr">
        <is>
          <t>2026: PHX 5/1 - 5/31</t>
        </is>
      </c>
      <c r="S12" s="46" t="n">
        <v>84</v>
      </c>
      <c r="T12" s="46" t="n">
        <v>84</v>
      </c>
      <c r="U12" s="70" t="n">
        <v>14</v>
      </c>
      <c r="V12" s="46">
        <f>T12-U12</f>
        <v/>
      </c>
      <c r="W12" s="71" t="n">
        <v>3</v>
      </c>
      <c r="X12" s="46" t="n">
        <v>27</v>
      </c>
      <c r="Y12" s="46" t="n">
        <v>0</v>
      </c>
      <c r="Z12" s="46" t="n">
        <v>0</v>
      </c>
      <c r="AA12" s="46">
        <f>U12-W12</f>
        <v/>
      </c>
      <c r="AB12" s="47">
        <f>W12/U12</f>
        <v/>
      </c>
      <c r="AC12" s="47">
        <f>X12/V12</f>
        <v/>
      </c>
      <c r="AD12" s="47">
        <f>Y12/U12</f>
        <v/>
      </c>
      <c r="AE12" s="47">
        <f>Z12/V12</f>
        <v/>
      </c>
      <c r="AF12" s="47">
        <f>T12/S12</f>
        <v/>
      </c>
      <c r="AG12" s="46"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73" t="n"/>
      <c r="S13" s="72" t="n"/>
      <c r="T13" s="72" t="n"/>
      <c r="U13" s="72" t="n"/>
      <c r="V13" s="46" t="n"/>
      <c r="W13" s="71" t="n"/>
      <c r="X13" s="72" t="n"/>
      <c r="Y13" s="72" t="n"/>
      <c r="Z13" s="72" t="n"/>
      <c r="AA13" s="46" t="n"/>
      <c r="AB13" s="47" t="n"/>
      <c r="AC13" s="47" t="n"/>
      <c r="AD13" s="47" t="n"/>
      <c r="AE13" s="47" t="n"/>
      <c r="AF13" s="47" t="n"/>
      <c r="AG13" s="46" t="n"/>
      <c r="AJ13" s="69">
        <f>AJ3</f>
        <v/>
      </c>
      <c r="AK13" s="83">
        <f>AK3</f>
        <v/>
      </c>
      <c r="AL13" s="83">
        <f>AL3</f>
        <v/>
      </c>
      <c r="AN13" s="2" t="n"/>
      <c r="AW13" s="250" t="n"/>
      <c r="AX13" s="124" t="n"/>
      <c r="AY13" s="251" t="n"/>
    </row>
    <row r="14">
      <c r="B14" s="222" t="n"/>
      <c r="C14" s="241" t="inlineStr">
        <is>
          <t>On-site team</t>
        </is>
      </c>
      <c r="D14" s="305" t="inlineStr">
        <is>
          <t>Allocated</t>
        </is>
      </c>
      <c r="E14" s="315" t="n"/>
      <c r="F14" s="239" t="n">
        <v>7</v>
      </c>
      <c r="G14" s="242" t="n"/>
      <c r="H14" s="242" t="n"/>
      <c r="I14" s="242" t="n"/>
      <c r="J14" s="215" t="n"/>
      <c r="K14" s="215" t="n"/>
      <c r="L14" s="215" t="n"/>
      <c r="M14" s="215" t="n"/>
      <c r="N14" s="215" t="n"/>
      <c r="O14" s="220" t="n"/>
      <c r="R14" s="73" t="n"/>
      <c r="S14" s="46" t="n"/>
      <c r="T14" s="46" t="n"/>
      <c r="U14" s="46" t="n"/>
      <c r="V14" s="46" t="n"/>
      <c r="W14" s="46" t="n"/>
      <c r="X14" s="46" t="n"/>
      <c r="Y14" s="46" t="n"/>
      <c r="Z14" s="46" t="n"/>
      <c r="AA14" s="46" t="n"/>
      <c r="AB14" s="47" t="n"/>
      <c r="AC14" s="47" t="n"/>
      <c r="AD14" s="47" t="n"/>
      <c r="AE14" s="47" t="n"/>
      <c r="AF14" s="47" t="n"/>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73" t="n"/>
      <c r="S15" s="46" t="n"/>
      <c r="T15" s="46" t="n"/>
      <c r="U15" s="46" t="n"/>
      <c r="V15" s="46" t="n"/>
      <c r="W15" s="46" t="n"/>
      <c r="X15" s="46" t="n"/>
      <c r="Y15" s="46" t="n"/>
      <c r="Z15" s="46" t="n"/>
      <c r="AA15" s="46" t="n"/>
      <c r="AB15" s="47" t="n"/>
      <c r="AC15" s="47" t="n"/>
      <c r="AD15" s="47" t="n"/>
      <c r="AE15" s="47" t="n"/>
      <c r="AF15" s="47" t="n"/>
      <c r="AG15" s="46"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73" t="n"/>
      <c r="S16" s="46" t="n"/>
      <c r="T16" s="46" t="n"/>
      <c r="U16" s="46" t="n"/>
      <c r="V16" s="46" t="n"/>
      <c r="W16" s="46" t="n"/>
      <c r="X16" s="46" t="n"/>
      <c r="Y16" s="46" t="n"/>
      <c r="Z16" s="46" t="n"/>
      <c r="AA16" s="46" t="n"/>
      <c r="AB16" s="47" t="n"/>
      <c r="AC16" s="47" t="n"/>
      <c r="AD16" s="47" t="n"/>
      <c r="AE16" s="47" t="n"/>
      <c r="AF16" s="47" t="n"/>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73" t="n"/>
      <c r="S17" s="72" t="n"/>
      <c r="T17" s="46" t="n"/>
      <c r="U17" s="46" t="n"/>
      <c r="V17" s="46" t="n"/>
      <c r="W17" s="46" t="n"/>
      <c r="X17" s="46" t="n"/>
      <c r="Y17" s="46" t="n"/>
      <c r="Z17" s="46" t="n"/>
      <c r="AA17" s="46" t="n"/>
      <c r="AB17" s="47" t="n"/>
      <c r="AC17" s="47" t="n"/>
      <c r="AD17" s="47" t="n"/>
      <c r="AE17" s="47" t="n"/>
      <c r="AF17" s="47" t="n"/>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73" t="n"/>
      <c r="S18" s="46" t="n"/>
      <c r="T18" s="71" t="n"/>
      <c r="U18" s="46" t="n"/>
      <c r="V18" s="46" t="n"/>
      <c r="W18" s="46" t="n"/>
      <c r="X18" s="46" t="n"/>
      <c r="Y18" s="46" t="n"/>
      <c r="Z18" s="46" t="n"/>
      <c r="AA18" s="46" t="n"/>
      <c r="AB18" s="47" t="n"/>
      <c r="AC18" s="47" t="n"/>
      <c r="AD18" s="47" t="n"/>
      <c r="AE18" s="47" t="n"/>
      <c r="AF18" s="47" t="n"/>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73" t="n"/>
      <c r="S19" s="281" t="n"/>
      <c r="T19" s="46" t="n"/>
      <c r="U19" s="46" t="n"/>
      <c r="V19" s="46" t="n"/>
      <c r="W19" s="46" t="n"/>
      <c r="X19" s="46" t="n"/>
      <c r="Y19" s="46" t="n"/>
      <c r="Z19" s="46" t="n"/>
      <c r="AA19" s="46" t="n"/>
      <c r="AB19" s="47" t="n"/>
      <c r="AC19" s="47" t="n"/>
      <c r="AD19" s="47" t="n"/>
      <c r="AE19" s="47" t="n"/>
      <c r="AF19" s="47" t="n"/>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73" t="n"/>
      <c r="S20" s="46" t="n"/>
      <c r="T20" s="46" t="n"/>
      <c r="U20" s="46" t="n"/>
      <c r="V20" s="46" t="n"/>
      <c r="W20" s="46" t="n"/>
      <c r="X20" s="46" t="n"/>
      <c r="Y20" s="46" t="n"/>
      <c r="Z20" s="46" t="n"/>
      <c r="AA20" s="46" t="n"/>
      <c r="AB20" s="47" t="n"/>
      <c r="AC20" s="47" t="n"/>
      <c r="AD20" s="47" t="n"/>
      <c r="AE20" s="47" t="n"/>
      <c r="AF20" s="47" t="n"/>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73" t="n"/>
      <c r="S21" s="46" t="n"/>
      <c r="T21" s="46" t="n"/>
      <c r="U21" s="46" t="n"/>
      <c r="V21" s="46" t="n"/>
      <c r="W21" s="46" t="n"/>
      <c r="X21" s="46" t="n"/>
      <c r="Y21" s="46" t="n"/>
      <c r="Z21" s="46" t="n"/>
      <c r="AA21" s="46" t="n"/>
      <c r="AB21" s="47" t="n"/>
      <c r="AC21" s="47" t="n"/>
      <c r="AD21" s="47" t="n"/>
      <c r="AE21" s="47" t="n"/>
      <c r="AF21" s="47" t="n"/>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73" t="n"/>
      <c r="S22" s="46" t="n"/>
      <c r="T22" s="46" t="n"/>
      <c r="U22" s="46" t="n"/>
      <c r="V22" s="46" t="n"/>
      <c r="W22" s="46" t="n"/>
      <c r="X22" s="46" t="n"/>
      <c r="Y22" s="46" t="n"/>
      <c r="Z22" s="46" t="n"/>
      <c r="AA22" s="46" t="n"/>
      <c r="AB22" s="47" t="n"/>
      <c r="AC22" s="47" t="n"/>
      <c r="AD22" s="47" t="n"/>
      <c r="AE22" s="47" t="n"/>
      <c r="AF22" s="47" t="n"/>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73" t="n"/>
      <c r="S23" s="46" t="n"/>
      <c r="T23" s="46" t="n"/>
      <c r="U23" s="46" t="n"/>
      <c r="V23" s="46" t="n"/>
      <c r="W23" s="46" t="n"/>
      <c r="X23" s="46" t="n"/>
      <c r="Y23" s="46" t="n"/>
      <c r="Z23" s="46" t="n"/>
      <c r="AA23" s="46" t="n"/>
      <c r="AB23" s="47" t="n"/>
      <c r="AC23" s="47" t="n"/>
      <c r="AD23" s="47" t="n"/>
      <c r="AE23" s="47" t="n"/>
      <c r="AF23" s="47" t="n"/>
      <c r="AG23" s="64" t="n"/>
      <c r="AJ23" s="2" t="inlineStr">
        <is>
          <t>2025: PHX 12/1 - 12/31</t>
        </is>
      </c>
      <c r="AK23" t="n">
        <v>0.2857142857142857</v>
      </c>
      <c r="AL23" t="n">
        <v>0.1379310344827586</v>
      </c>
      <c r="AN23" s="2" t="inlineStr">
        <is>
          <t>2025: PHX 12/1 - 12/31</t>
        </is>
      </c>
      <c r="AO23" t="n">
        <v>0</v>
      </c>
      <c r="AP23" t="n">
        <v>0</v>
      </c>
    </row>
    <row r="24">
      <c r="A24" s="214" t="n"/>
      <c r="B24" s="214" t="n"/>
      <c r="C24" s="214" t="n"/>
      <c r="D24" s="214" t="n"/>
      <c r="E24" s="214" t="n"/>
      <c r="F24" s="214" t="n"/>
      <c r="G24" s="214" t="n"/>
      <c r="H24" s="214" t="n"/>
      <c r="I24" s="214" t="n"/>
      <c r="J24" s="214" t="n"/>
      <c r="K24" s="214" t="n"/>
      <c r="L24" s="214" t="n"/>
      <c r="M24" s="214" t="n"/>
      <c r="N24" s="214" t="n"/>
      <c r="O24" s="214" t="n"/>
      <c r="P24" s="214" t="n"/>
      <c r="Q24" s="214" t="n"/>
      <c r="R24" s="73" t="n"/>
      <c r="S24" s="46" t="n"/>
      <c r="T24" s="46" t="n"/>
      <c r="U24" s="46" t="n"/>
      <c r="V24" s="46" t="n"/>
      <c r="W24" s="46" t="n"/>
      <c r="X24" s="46" t="n"/>
      <c r="Y24" s="46" t="n"/>
      <c r="Z24" s="46" t="n"/>
      <c r="AA24" s="46" t="n"/>
      <c r="AB24" s="47" t="n"/>
      <c r="AC24" s="47" t="n"/>
      <c r="AD24" s="47" t="n"/>
      <c r="AE24" s="47" t="n"/>
      <c r="AF24" s="47" t="n"/>
      <c r="AG24" s="64" t="n"/>
      <c r="AJ24" s="2" t="inlineStr">
        <is>
          <t>2026: PHX 01/1 - 01/31</t>
        </is>
      </c>
      <c r="AK24" t="n">
        <v>0</v>
      </c>
      <c r="AL24" t="n">
        <v>0.04</v>
      </c>
      <c r="AN24" s="2" t="inlineStr">
        <is>
          <t>2026: PHX 01/1 - 01/31</t>
        </is>
      </c>
      <c r="AO24" t="n">
        <v>0</v>
      </c>
      <c r="AP24" t="n">
        <v>0</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t="n"/>
      <c r="AB25" s="47" t="n"/>
      <c r="AC25" s="47" t="n"/>
      <c r="AD25" s="47" t="n"/>
      <c r="AE25" s="47" t="n"/>
      <c r="AF25" s="47" t="n"/>
      <c r="AG25" s="46" t="n"/>
      <c r="AJ25" s="2" t="inlineStr">
        <is>
          <t>2026: PHX 2/1 - 2/28</t>
        </is>
      </c>
      <c r="AK25" t="n">
        <v>0.1818181818181818</v>
      </c>
      <c r="AL25" t="n">
        <v>0.1388888888888889</v>
      </c>
      <c r="AN25" s="2" t="inlineStr">
        <is>
          <t>2026: PHX 2/1 - 2/28</t>
        </is>
      </c>
      <c r="AO25" t="n">
        <v>0</v>
      </c>
      <c r="AP25" t="n">
        <v>0</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t="n"/>
      <c r="AC26" s="47" t="n"/>
      <c r="AD26" s="47" t="n"/>
      <c r="AE26" s="47" t="n"/>
      <c r="AF26" s="47" t="n"/>
      <c r="AG26" s="46" t="n"/>
      <c r="AJ26" s="2" t="inlineStr">
        <is>
          <t>2026: PHX 3/1 - 3/31</t>
        </is>
      </c>
      <c r="AK26" t="n">
        <v>0.1428571428571428</v>
      </c>
      <c r="AL26" t="n">
        <v>0.2040816326530612</v>
      </c>
      <c r="AN26" s="2" t="inlineStr">
        <is>
          <t>2026: PHX 3/1 - 3/31</t>
        </is>
      </c>
      <c r="AO26" t="n">
        <v>0</v>
      </c>
      <c r="AP26" t="n">
        <v>0</v>
      </c>
    </row>
    <row r="27">
      <c r="A27" s="214" t="n"/>
      <c r="B27" s="214" t="n"/>
      <c r="C27" s="214" t="n"/>
      <c r="D27" s="214" t="n"/>
      <c r="E27" s="214" t="n"/>
      <c r="F27" s="214" t="n"/>
      <c r="G27" s="214" t="n"/>
      <c r="H27" s="214" t="n"/>
      <c r="I27" s="214" t="n"/>
      <c r="J27" s="214" t="n"/>
      <c r="K27" s="214" t="n"/>
      <c r="L27" s="214" t="n"/>
      <c r="M27" s="214" t="n"/>
      <c r="N27" s="214" t="n"/>
      <c r="O27" s="214" t="n"/>
      <c r="P27" s="214" t="n"/>
      <c r="Q27" s="214" t="n"/>
      <c r="R27" s="37" t="n"/>
      <c r="S27" s="46" t="n"/>
      <c r="T27" s="46" t="n"/>
      <c r="U27" s="46" t="n"/>
      <c r="V27" s="46" t="n"/>
      <c r="W27" s="46" t="n"/>
      <c r="X27" s="46" t="n"/>
      <c r="Y27" s="46" t="n"/>
      <c r="Z27" s="46" t="n"/>
      <c r="AA27" s="46" t="n"/>
      <c r="AB27" s="47" t="n"/>
      <c r="AC27" s="47" t="n"/>
      <c r="AD27" s="47" t="n"/>
      <c r="AE27" s="47" t="n"/>
      <c r="AF27" s="47" t="n"/>
      <c r="AG27" s="46" t="n"/>
      <c r="AJ27" s="2" t="inlineStr">
        <is>
          <t>2026: PHX 4/1 - 4/30</t>
        </is>
      </c>
      <c r="AK27" t="n">
        <v>0.04761904761904762</v>
      </c>
      <c r="AL27" t="n">
        <v>0.103448275862069</v>
      </c>
      <c r="AN27" s="2" t="inlineStr">
        <is>
          <t>2026: PHX 4/1 - 4/30</t>
        </is>
      </c>
      <c r="AO27" t="n">
        <v>0</v>
      </c>
      <c r="AP27" t="n">
        <v>0</v>
      </c>
    </row>
    <row r="28">
      <c r="A28" s="214" t="n"/>
      <c r="B28" s="214" t="n"/>
      <c r="C28" s="214" t="n"/>
      <c r="D28" s="214" t="n"/>
      <c r="E28" s="214" t="n"/>
      <c r="F28" s="214" t="n"/>
      <c r="G28" s="214" t="n"/>
      <c r="H28" s="214" t="n"/>
      <c r="I28" s="214" t="n"/>
      <c r="J28" s="214" t="n"/>
      <c r="K28" s="214" t="n"/>
      <c r="L28" s="214" t="n"/>
      <c r="M28" s="214" t="n"/>
      <c r="N28" s="214" t="n"/>
      <c r="O28" s="214" t="n"/>
      <c r="P28" s="214" t="n"/>
      <c r="Q28" s="214" t="n"/>
      <c r="R28" s="37" t="n"/>
      <c r="S28" s="46" t="n"/>
      <c r="T28" s="46" t="n"/>
      <c r="U28" s="46" t="n"/>
      <c r="V28" s="46" t="n"/>
      <c r="W28" s="46" t="n"/>
      <c r="X28" s="46" t="n"/>
      <c r="Y28" s="46" t="n"/>
      <c r="Z28" s="46" t="n"/>
      <c r="AA28" s="46" t="n"/>
      <c r="AB28" s="47" t="n"/>
      <c r="AC28" s="47" t="n"/>
      <c r="AD28" s="47" t="n"/>
      <c r="AE28" s="47" t="n"/>
      <c r="AF28" s="47" t="n"/>
      <c r="AG28" s="46" t="n"/>
      <c r="AJ28" s="2" t="inlineStr">
        <is>
          <t>2026: PHX 5/1 - 5/31</t>
        </is>
      </c>
      <c r="AK28" t="n">
        <v>0.2142857142857143</v>
      </c>
      <c r="AL28" t="n">
        <v>0.3857142857142857</v>
      </c>
      <c r="AN28" s="2" t="inlineStr">
        <is>
          <t>2026: PHX 5/1 - 5/31</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37" t="n"/>
      <c r="S29" s="46" t="n"/>
      <c r="T29" s="46" t="n"/>
      <c r="U29" s="46" t="n"/>
      <c r="V29" s="46" t="n"/>
      <c r="W29" s="46" t="n"/>
      <c r="X29" s="46" t="n"/>
      <c r="Y29" s="46" t="n"/>
      <c r="Z29" s="46" t="n"/>
      <c r="AA29" s="46" t="n"/>
      <c r="AB29" s="47" t="n"/>
      <c r="AC29" s="47" t="n"/>
      <c r="AD29" s="47" t="n"/>
      <c r="AE29" s="47" t="n"/>
      <c r="AF29" s="47" t="n"/>
      <c r="AG29" s="46" t="n"/>
      <c r="AJ29" s="2" t="inlineStr">
        <is>
          <t>Grand Total</t>
        </is>
      </c>
      <c r="AK29" t="n">
        <v>0.8722943722943722</v>
      </c>
      <c r="AL29" t="n">
        <v>1.010064117601063</v>
      </c>
      <c r="AN29" s="2" t="inlineStr">
        <is>
          <t>Grand Total</t>
        </is>
      </c>
      <c r="AO29" t="n">
        <v>0</v>
      </c>
      <c r="AP29" t="n">
        <v>0</v>
      </c>
    </row>
    <row r="30">
      <c r="A30" s="214" t="n"/>
      <c r="B30" s="214" t="n"/>
      <c r="C30" s="214" t="n"/>
      <c r="D30" s="214" t="n"/>
      <c r="E30" s="214" t="n"/>
      <c r="F30" s="214" t="n"/>
      <c r="G30" s="214" t="n"/>
      <c r="H30" s="214" t="n"/>
      <c r="I30" s="214" t="n"/>
      <c r="J30" s="214" t="n"/>
      <c r="K30" s="214" t="n"/>
      <c r="L30" s="214" t="n"/>
      <c r="M30" s="214" t="n"/>
      <c r="N30" s="214" t="n"/>
      <c r="O30" s="214" t="n"/>
      <c r="P30" s="214" t="n"/>
      <c r="Q30" s="214" t="n"/>
      <c r="R30" s="37"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ht="15.75" customHeight="1" thickBot="1">
      <c r="A31" s="214" t="n"/>
      <c r="B31" s="214" t="n"/>
      <c r="C31" s="214" t="n"/>
      <c r="D31" s="214" t="n"/>
      <c r="E31" s="214" t="n"/>
      <c r="F31" s="214" t="n"/>
      <c r="G31" s="214" t="n"/>
      <c r="H31" s="214" t="n"/>
      <c r="I31" s="214" t="n"/>
      <c r="J31" s="214" t="n"/>
      <c r="K31" s="214" t="n"/>
      <c r="L31" s="214" t="n"/>
      <c r="M31" s="214" t="n"/>
      <c r="N31" s="214" t="n"/>
      <c r="O31" s="214" t="n"/>
      <c r="P31" s="214" t="n"/>
      <c r="Q31" s="214" t="n"/>
      <c r="R31" s="37" t="n"/>
      <c r="S31" s="46" t="n"/>
      <c r="T31" s="46" t="n"/>
      <c r="U31" s="46" t="n"/>
      <c r="V31" s="46" t="n"/>
      <c r="W31" s="46" t="n"/>
      <c r="X31" s="46" t="n"/>
      <c r="Y31" s="46" t="n"/>
      <c r="Z31" s="46" t="n"/>
      <c r="AA31" s="46" t="n"/>
      <c r="AB31" s="47" t="n"/>
      <c r="AC31" s="47" t="n"/>
      <c r="AD31" s="47" t="n"/>
      <c r="AE31" s="47" t="n"/>
      <c r="AF31" s="47" t="n"/>
      <c r="AG31" s="46" t="n"/>
    </row>
    <row r="32" ht="15.75" customHeight="1" thickBot="1">
      <c r="A32" s="214" t="n"/>
      <c r="B32" s="214" t="n"/>
      <c r="C32" s="214" t="n"/>
      <c r="D32" s="214" t="n"/>
      <c r="E32" s="214" t="n"/>
      <c r="F32" s="214" t="n"/>
      <c r="G32" s="214" t="n"/>
      <c r="H32" s="214" t="n"/>
      <c r="I32" s="214" t="n"/>
      <c r="J32" s="214" t="n"/>
      <c r="K32" s="214" t="n"/>
      <c r="L32" s="214" t="n"/>
      <c r="M32" s="214" t="n"/>
      <c r="N32" s="214" t="n"/>
      <c r="O32" s="214" t="n"/>
      <c r="P32" s="214" t="n"/>
      <c r="Q32" s="214" t="n"/>
      <c r="R32" s="37"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37"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ht="15.75" customHeight="1" thickBot="1">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2025: PHX 12/1 - 12/31</t>
        </is>
      </c>
      <c r="AK43" t="n">
        <v>1</v>
      </c>
      <c r="AM43" s="2" t="inlineStr">
        <is>
          <t>2025: PHX 12/1 - 12/31</t>
        </is>
      </c>
      <c r="AN43" s="46" t="n">
        <v>6</v>
      </c>
      <c r="AO43" s="46" t="n">
        <v>4</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2026: PHX 01/1 - 01/31</t>
        </is>
      </c>
      <c r="AK44" t="n">
        <v>1</v>
      </c>
      <c r="AM44" s="2" t="inlineStr">
        <is>
          <t>2026: PHX 01/1 - 01/31</t>
        </is>
      </c>
      <c r="AN44" s="46" t="n">
        <v>0</v>
      </c>
      <c r="AO44" s="46" t="n">
        <v>2</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2026: PHX 2/1 - 2/28</t>
        </is>
      </c>
      <c r="AK45" t="n">
        <v>1</v>
      </c>
      <c r="AM45" s="2" t="inlineStr">
        <is>
          <t>2026: PHX 2/1 - 2/28</t>
        </is>
      </c>
      <c r="AN45" s="72" t="n">
        <v>2</v>
      </c>
      <c r="AO45" s="72" t="n">
        <v>5</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2026: PHX 3/1 - 3/31</t>
        </is>
      </c>
      <c r="AK46" t="n">
        <v>1</v>
      </c>
      <c r="AM46" s="2" t="inlineStr">
        <is>
          <t>2026: PHX 3/1 - 3/31</t>
        </is>
      </c>
      <c r="AN46" s="72" t="n">
        <v>2</v>
      </c>
      <c r="AO46" s="72" t="n">
        <v>10</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2026: PHX 4/1 - 4/30</t>
        </is>
      </c>
      <c r="AK47" t="n">
        <v>1</v>
      </c>
      <c r="AM47" s="2" t="inlineStr">
        <is>
          <t>2026: PHX 4/1 - 4/30</t>
        </is>
      </c>
      <c r="AN47" s="46" t="n">
        <v>1</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2026: PHX 5/1 - 5/31</t>
        </is>
      </c>
      <c r="AK48" t="n">
        <v>1</v>
      </c>
      <c r="AM48" s="2" t="inlineStr">
        <is>
          <t>2026: PHX 5/1 - 5/31</t>
        </is>
      </c>
      <c r="AN48" s="71" t="n">
        <v>3</v>
      </c>
      <c r="AO48" s="46" t="n">
        <v>27</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6</v>
      </c>
      <c r="AM49" s="269" t="n"/>
      <c r="AN49" s="269" t="n"/>
      <c r="AO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3:E13"/>
    <mergeCell ref="D11:E11"/>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Y76"/>
  <sheetViews>
    <sheetView zoomScaleNormal="100" workbookViewId="0">
      <pane ySplit="1" topLeftCell="A46" activePane="bottomLeft" state="frozen"/>
      <selection pane="bottomLeft" activeCell="N7" sqref="N7"/>
      <selection activeCell="B1" sqref="B1"/>
    </sheetView>
  </sheetViews>
  <sheetFormatPr baseColWidth="8" defaultRowHeight="18" customHeight="1"/>
  <cols>
    <col width="9.140625" customWidth="1" style="143" min="1" max="2"/>
    <col width="20.85546875" bestFit="1" customWidth="1" style="143" min="3" max="3"/>
    <col width="9.140625" customWidth="1" style="143" min="4" max="13"/>
    <col width="10.28515625" customWidth="1" style="143" min="14" max="14"/>
    <col width="9.140625" customWidth="1" style="143" min="15" max="17"/>
    <col width="30" customWidth="1" style="151" min="18" max="18"/>
    <col width="13.7109375" customWidth="1" style="65" min="19" max="20"/>
    <col width="10.7109375" customWidth="1" style="65" min="21" max="22"/>
    <col width="13.7109375" customWidth="1" style="65" min="23" max="31"/>
    <col width="18.7109375" customWidth="1" style="65" min="32" max="32"/>
    <col width="13.7109375" customWidth="1" style="65" min="33" max="33"/>
    <col width="46.28515625" customWidth="1" style="143" min="34" max="34"/>
    <col width="14" bestFit="1" customWidth="1" style="143" min="35" max="35"/>
    <col width="27" bestFit="1" customWidth="1" style="143" min="36" max="36"/>
    <col width="33.42578125" bestFit="1" customWidth="1" style="143" min="37" max="37"/>
    <col width="28.140625" bestFit="1" customWidth="1" style="143" min="38" max="38"/>
    <col width="14" bestFit="1" customWidth="1" style="143" min="39" max="39"/>
    <col width="27" bestFit="1" customWidth="1" style="143" min="40" max="40"/>
    <col width="30.5703125" bestFit="1" customWidth="1" style="143" min="41" max="41"/>
    <col width="30.28515625" bestFit="1" customWidth="1" style="143" min="42" max="42"/>
    <col width="9.140625" customWidth="1" style="143" min="43" max="49"/>
    <col width="16" bestFit="1" customWidth="1" style="143" min="50" max="50"/>
    <col width="9.85546875" bestFit="1" customWidth="1" style="143" min="51" max="51"/>
    <col width="9.42578125" bestFit="1" customWidth="1" style="143" min="52" max="52"/>
    <col width="9.140625" customWidth="1" style="143" min="53" max="53"/>
    <col width="16" bestFit="1" customWidth="1" style="143" min="54" max="54"/>
    <col width="14.42578125" bestFit="1" customWidth="1" style="143" min="55" max="55"/>
    <col width="17" bestFit="1" customWidth="1" style="143" min="56" max="56"/>
    <col width="9.140625" customWidth="1" style="143" min="57" max="16384"/>
  </cols>
  <sheetData>
    <row r="1" ht="30"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inlineStr">
        <is>
          <t>Comments</t>
        </is>
      </c>
      <c r="AJ1" s="233" t="inlineStr">
        <is>
          <t>Row Labels</t>
        </is>
      </c>
      <c r="AK1" s="227" t="inlineStr">
        <is>
          <t>Sum of V2</t>
        </is>
      </c>
      <c r="AL1" s="227" t="inlineStr">
        <is>
          <t>Sum of LT</t>
        </is>
      </c>
      <c r="AN1" s="233" t="inlineStr">
        <is>
          <t>Row Labels</t>
        </is>
      </c>
      <c r="AO1" s="227" t="inlineStr">
        <is>
          <t>Sum of Rework</t>
        </is>
      </c>
      <c r="AP1" s="227" t="inlineStr">
        <is>
          <t>Sum of QA Passed</t>
        </is>
      </c>
      <c r="AW1" s="255" t="n"/>
      <c r="AX1" s="256" t="n"/>
      <c r="AY1" s="257" t="n"/>
    </row>
    <row r="2" ht="18" customHeight="1">
      <c r="A2" s="198" t="n"/>
      <c r="B2" s="314" t="inlineStr">
        <is>
          <t>PROJECT HEALTH DASHBOARD</t>
        </is>
      </c>
      <c r="C2" s="28" t="n"/>
      <c r="D2" s="28" t="n"/>
      <c r="E2" s="28" t="n"/>
      <c r="F2" s="28" t="n"/>
      <c r="G2" s="28" t="n"/>
      <c r="H2" s="28" t="n"/>
      <c r="I2" s="28" t="n"/>
      <c r="J2" s="28" t="n"/>
      <c r="K2" s="28" t="n"/>
      <c r="L2" s="28" t="n"/>
      <c r="M2" s="28" t="n"/>
      <c r="N2" s="28" t="n"/>
      <c r="O2" s="29" t="n"/>
      <c r="P2" s="198" t="n"/>
      <c r="Q2" s="198" t="n"/>
      <c r="R2" s="169" t="inlineStr">
        <is>
          <t>Flex Sprint 13: 10/2 - 10/16</t>
        </is>
      </c>
      <c r="S2" s="64" t="n">
        <v>67</v>
      </c>
      <c r="T2" s="64" t="n">
        <v>40</v>
      </c>
      <c r="U2" s="64" t="n">
        <v>11</v>
      </c>
      <c r="V2" s="64" t="n">
        <v>29</v>
      </c>
      <c r="W2" s="64" t="n">
        <v>0</v>
      </c>
      <c r="X2" s="64" t="n">
        <v>8</v>
      </c>
      <c r="Y2" s="64" t="n">
        <v>0</v>
      </c>
      <c r="Z2" s="64" t="n">
        <v>27</v>
      </c>
      <c r="AA2" s="64">
        <f>U2-W2</f>
        <v/>
      </c>
      <c r="AB2" s="150">
        <f>W2/U2</f>
        <v/>
      </c>
      <c r="AC2" s="150">
        <f>X2/V2</f>
        <v/>
      </c>
      <c r="AD2" s="150">
        <f>Y2/U2</f>
        <v/>
      </c>
      <c r="AE2" s="150">
        <f>Z2/V2</f>
        <v/>
      </c>
      <c r="AF2" s="150">
        <f>T2/S2</f>
        <v/>
      </c>
      <c r="AG2" s="74" t="n"/>
      <c r="AJ2" s="151" t="inlineStr">
        <is>
          <t>Flex '26 Sprint 5: 3/5 - 3/19</t>
        </is>
      </c>
      <c r="AK2" s="143" t="n">
        <v>13</v>
      </c>
      <c r="AL2" s="143" t="n">
        <v>24</v>
      </c>
      <c r="AN2" s="151" t="inlineStr">
        <is>
          <t>Flex '26 Sprint 5: 3/5 - 3/19</t>
        </is>
      </c>
      <c r="AO2" s="143" t="n">
        <v>0</v>
      </c>
      <c r="AP2" s="143" t="n">
        <v>13</v>
      </c>
      <c r="AU2" s="143" t="inlineStr">
        <is>
          <t>Green</t>
        </is>
      </c>
      <c r="AW2" s="258" t="n"/>
      <c r="AX2" s="195" t="n"/>
      <c r="AY2" s="259" t="n"/>
    </row>
    <row r="3" ht="18" customHeight="1">
      <c r="A3" s="198" t="n"/>
      <c r="B3" s="17" t="n"/>
      <c r="O3" s="10" t="n"/>
      <c r="P3" s="198" t="n"/>
      <c r="Q3" s="198" t="n"/>
      <c r="R3" s="169" t="inlineStr">
        <is>
          <t>Flex Sprint 14: 10/16 - 10/30</t>
        </is>
      </c>
      <c r="S3" s="64" t="n">
        <v>58</v>
      </c>
      <c r="T3" s="64" t="n">
        <v>43</v>
      </c>
      <c r="U3" s="64" t="n">
        <v>4</v>
      </c>
      <c r="V3" s="64" t="n">
        <v>39</v>
      </c>
      <c r="W3" s="64" t="n">
        <v>0</v>
      </c>
      <c r="X3" s="64" t="n">
        <v>0</v>
      </c>
      <c r="Y3" s="64" t="n">
        <v>2</v>
      </c>
      <c r="Z3" s="64" t="n">
        <v>13</v>
      </c>
      <c r="AA3" s="64">
        <f>U3-W3</f>
        <v/>
      </c>
      <c r="AB3" s="150">
        <f>W3/U3</f>
        <v/>
      </c>
      <c r="AC3" s="150">
        <f>X3/V3</f>
        <v/>
      </c>
      <c r="AD3" s="150">
        <f>Y3/U3</f>
        <v/>
      </c>
      <c r="AE3" s="150">
        <f>Z3/V3</f>
        <v/>
      </c>
      <c r="AF3" s="150">
        <f>T3/S3</f>
        <v/>
      </c>
      <c r="AG3" s="74" t="n"/>
      <c r="AJ3" s="151" t="inlineStr">
        <is>
          <t>Flex '26 Sprint 6: 3/19 - 4/2</t>
        </is>
      </c>
      <c r="AK3" s="143" t="n">
        <v>8</v>
      </c>
      <c r="AL3" s="143" t="n">
        <v>21</v>
      </c>
      <c r="AN3" s="151" t="inlineStr">
        <is>
          <t>Flex '26 Sprint 6: 3/19 - 4/2</t>
        </is>
      </c>
      <c r="AO3" s="143" t="n">
        <v>3</v>
      </c>
      <c r="AP3" s="143" t="n">
        <v>5</v>
      </c>
      <c r="AU3" s="143" t="inlineStr">
        <is>
          <t>Red</t>
        </is>
      </c>
      <c r="AW3" s="258" t="n"/>
      <c r="AX3" s="195" t="n"/>
      <c r="AY3" s="259" t="n"/>
    </row>
    <row r="4" ht="18" customHeight="1">
      <c r="A4" s="198" t="n"/>
      <c r="B4" s="17" t="n"/>
      <c r="O4" s="10" t="n"/>
      <c r="P4" s="198" t="n"/>
      <c r="Q4" s="198" t="n"/>
      <c r="R4" s="169" t="inlineStr">
        <is>
          <t>Flex Sprint 15: 10/30 - 11/13</t>
        </is>
      </c>
      <c r="S4" s="64" t="n">
        <v>77</v>
      </c>
      <c r="T4" s="64" t="n">
        <v>66</v>
      </c>
      <c r="U4" s="64" t="n">
        <v>15</v>
      </c>
      <c r="V4" s="64" t="n">
        <v>51</v>
      </c>
      <c r="W4" s="64" t="n">
        <v>2</v>
      </c>
      <c r="X4" s="64" t="n">
        <v>5</v>
      </c>
      <c r="Y4" s="64" t="n">
        <v>0</v>
      </c>
      <c r="Z4" s="64" t="n">
        <v>11</v>
      </c>
      <c r="AA4" s="64">
        <f>U4-W4</f>
        <v/>
      </c>
      <c r="AB4" s="150">
        <f>W4/U4</f>
        <v/>
      </c>
      <c r="AC4" s="150">
        <f>X4/V4</f>
        <v/>
      </c>
      <c r="AD4" s="150">
        <f>Y4/U4</f>
        <v/>
      </c>
      <c r="AE4" s="150">
        <f>Z4/V4</f>
        <v/>
      </c>
      <c r="AF4" s="150">
        <f>T4/S4</f>
        <v/>
      </c>
      <c r="AG4" s="74" t="n"/>
      <c r="AH4" s="143" t="inlineStr">
        <is>
          <t>FLEX-657 was reopened due to a incorrect assumption by Product</t>
        </is>
      </c>
      <c r="AJ4" s="151" t="inlineStr">
        <is>
          <t>Flex '26 Sprint 7: 4/2 - 4/16</t>
        </is>
      </c>
      <c r="AK4" s="143" t="n">
        <v>3</v>
      </c>
      <c r="AL4" s="143" t="n">
        <v>44</v>
      </c>
      <c r="AN4" s="151" t="inlineStr">
        <is>
          <t>Flex '26 Sprint 7: 4/2 - 4/16</t>
        </is>
      </c>
      <c r="AO4" s="143" t="n">
        <v>0</v>
      </c>
      <c r="AP4" s="143" t="n">
        <v>3</v>
      </c>
      <c r="AU4" s="143" t="inlineStr">
        <is>
          <t>Amber</t>
        </is>
      </c>
      <c r="AW4" s="258" t="n"/>
      <c r="AX4" s="195" t="n"/>
      <c r="AY4" s="259" t="n"/>
    </row>
    <row r="5" ht="18" customHeight="1">
      <c r="A5" s="198" t="n"/>
      <c r="B5" s="199" t="n"/>
      <c r="C5" s="200" t="n"/>
      <c r="D5" s="200" t="n"/>
      <c r="E5" s="200" t="n"/>
      <c r="F5" s="200" t="n"/>
      <c r="G5" s="200" t="n"/>
      <c r="H5" s="200" t="n"/>
      <c r="I5" s="200" t="n"/>
      <c r="J5" s="200" t="n"/>
      <c r="K5" s="200" t="n"/>
      <c r="L5" s="200" t="n"/>
      <c r="M5" s="200" t="n"/>
      <c r="N5" s="200" t="n"/>
      <c r="O5" s="201" t="n"/>
      <c r="P5" s="198" t="n"/>
      <c r="Q5" s="198" t="n"/>
      <c r="R5" s="169" t="inlineStr">
        <is>
          <t>Flex Sprint 16: 11/13 - 12/4</t>
        </is>
      </c>
      <c r="S5" s="64" t="n">
        <v>56</v>
      </c>
      <c r="T5" s="64" t="n">
        <v>40</v>
      </c>
      <c r="U5" s="64" t="n">
        <v>10</v>
      </c>
      <c r="V5" s="64" t="n">
        <v>30</v>
      </c>
      <c r="W5" s="64" t="n">
        <v>0</v>
      </c>
      <c r="X5" s="64" t="n">
        <v>13</v>
      </c>
      <c r="Y5" s="64" t="n">
        <v>5</v>
      </c>
      <c r="Z5" s="64" t="n">
        <v>11</v>
      </c>
      <c r="AA5" s="64">
        <f>U5-W5</f>
        <v/>
      </c>
      <c r="AB5" s="150">
        <f>W5/U5</f>
        <v/>
      </c>
      <c r="AC5" s="150">
        <f>X5/V5</f>
        <v/>
      </c>
      <c r="AD5" s="150">
        <f>Y5/U5</f>
        <v/>
      </c>
      <c r="AE5" s="150">
        <f>Z5/V5</f>
        <v/>
      </c>
      <c r="AF5" s="150">
        <f>T5/S5</f>
        <v/>
      </c>
      <c r="AG5" s="74" t="n"/>
      <c r="AJ5" s="151" t="inlineStr">
        <is>
          <t>Flex '26 Sprint 8: 4/16 - 4/30</t>
        </is>
      </c>
      <c r="AK5" s="143" t="n">
        <v>8</v>
      </c>
      <c r="AL5" s="143" t="n">
        <v>33</v>
      </c>
      <c r="AN5" s="151" t="inlineStr">
        <is>
          <t>Flex '26 Sprint 8: 4/16 - 4/30</t>
        </is>
      </c>
      <c r="AO5" s="143" t="n">
        <v>0</v>
      </c>
      <c r="AP5" s="143" t="n">
        <v>8</v>
      </c>
      <c r="AW5" s="258" t="n"/>
      <c r="AX5" s="195" t="n"/>
      <c r="AY5" s="259" t="n"/>
    </row>
    <row r="6" ht="18" customHeight="1">
      <c r="A6" s="198" t="n"/>
      <c r="B6" s="85" t="n"/>
      <c r="C6" s="100" t="inlineStr">
        <is>
          <t>Project Name</t>
        </is>
      </c>
      <c r="D6" s="304" t="inlineStr">
        <is>
          <t>LendingTree</t>
        </is>
      </c>
      <c r="F6" s="225" t="n"/>
      <c r="G6" s="225" t="n"/>
      <c r="H6" s="203" t="n"/>
      <c r="I6" s="203" t="n"/>
      <c r="J6" s="204" t="n"/>
      <c r="K6" s="204" t="n"/>
      <c r="L6" s="307" t="inlineStr">
        <is>
          <t>Status Date</t>
        </is>
      </c>
      <c r="N6" s="221" t="n">
        <v>46174</v>
      </c>
      <c r="O6" s="206" t="n"/>
      <c r="P6" s="198" t="n"/>
      <c r="Q6" s="198" t="n"/>
      <c r="R6" s="169" t="inlineStr">
        <is>
          <t>Flex Sprint 17: 12/4 - 12/18</t>
        </is>
      </c>
      <c r="S6" s="64" t="n">
        <v>71</v>
      </c>
      <c r="T6" s="64" t="n">
        <v>54</v>
      </c>
      <c r="U6" s="64" t="n">
        <v>8</v>
      </c>
      <c r="V6" s="64" t="n">
        <v>46</v>
      </c>
      <c r="W6" s="64" t="n">
        <v>0</v>
      </c>
      <c r="X6" s="64" t="n">
        <v>10</v>
      </c>
      <c r="Y6" s="64" t="n">
        <v>2</v>
      </c>
      <c r="Z6" s="64" t="n">
        <v>15</v>
      </c>
      <c r="AA6" s="64">
        <f>U6-W6</f>
        <v/>
      </c>
      <c r="AB6" s="150">
        <f>W6/U6</f>
        <v/>
      </c>
      <c r="AC6" s="150">
        <f>X6/V6</f>
        <v/>
      </c>
      <c r="AD6" s="150">
        <f>Y6/U6</f>
        <v/>
      </c>
      <c r="AE6" s="150">
        <f>Z6/V6</f>
        <v/>
      </c>
      <c r="AF6" s="150">
        <f>T6/S6</f>
        <v/>
      </c>
      <c r="AG6" s="74" t="n"/>
      <c r="AH6" s="143" t="inlineStr">
        <is>
          <t>FLEX-723: Carry over because started work 2 days before sprint end</t>
        </is>
      </c>
      <c r="AJ6" s="151" t="inlineStr">
        <is>
          <t>Flex '26 Sprint 9: 4/30 - 5/14</t>
        </is>
      </c>
      <c r="AK6" s="143" t="n">
        <v>3</v>
      </c>
      <c r="AL6" s="143" t="n">
        <v>34</v>
      </c>
      <c r="AN6" s="151" t="inlineStr">
        <is>
          <t>Flex '26 Sprint 9: 4/30 - 5/14</t>
        </is>
      </c>
      <c r="AO6" s="143" t="n">
        <v>0</v>
      </c>
      <c r="AP6" s="143" t="n">
        <v>3</v>
      </c>
      <c r="AW6" s="258" t="n"/>
      <c r="AX6" s="195" t="n"/>
      <c r="AY6" s="259" t="n"/>
    </row>
    <row r="7" ht="18" customHeight="1">
      <c r="A7" s="198" t="n"/>
      <c r="B7" s="202" t="n"/>
      <c r="C7" s="100" t="inlineStr">
        <is>
          <t>Sub Project</t>
        </is>
      </c>
      <c r="D7" s="304" t="inlineStr">
        <is>
          <t>FLEX</t>
        </is>
      </c>
      <c r="F7" s="225" t="n"/>
      <c r="G7" s="225" t="n"/>
      <c r="H7" s="207" t="n"/>
      <c r="I7" s="207" t="n"/>
      <c r="J7" s="208" t="n"/>
      <c r="K7" s="208" t="n"/>
      <c r="L7" s="90" t="n"/>
      <c r="M7" s="90" t="n"/>
      <c r="N7" s="209" t="n"/>
      <c r="O7" s="206" t="n"/>
      <c r="P7" s="198" t="n"/>
      <c r="Q7" s="198" t="n"/>
      <c r="R7" s="170" t="inlineStr">
        <is>
          <t>Flex Sprint 18: 12/18 - 1/8</t>
        </is>
      </c>
      <c r="S7" s="74" t="n">
        <v>50</v>
      </c>
      <c r="T7" s="74" t="n">
        <v>28</v>
      </c>
      <c r="U7" s="74" t="n">
        <v>2</v>
      </c>
      <c r="V7" s="74" t="n">
        <v>26</v>
      </c>
      <c r="W7" s="74" t="n">
        <v>0</v>
      </c>
      <c r="X7" s="74" t="n">
        <v>0</v>
      </c>
      <c r="Y7" s="74" t="n">
        <v>11</v>
      </c>
      <c r="Z7" s="74" t="n">
        <v>9</v>
      </c>
      <c r="AA7" s="74">
        <f>U7-W7</f>
        <v/>
      </c>
      <c r="AB7" s="162">
        <f>W7/U7</f>
        <v/>
      </c>
      <c r="AC7" s="162">
        <f>X7/V7</f>
        <v/>
      </c>
      <c r="AD7" s="162">
        <f>Y7/U7</f>
        <v/>
      </c>
      <c r="AE7" s="162">
        <f>Z7/V7</f>
        <v/>
      </c>
      <c r="AF7" s="162">
        <f>T7/S7</f>
        <v/>
      </c>
      <c r="AG7" s="74" t="n"/>
      <c r="AH7" s="143" t="inlineStr">
        <is>
          <t>FLEX-712 was Dev Complete a week before sprint end, but it had dependency on FLEX-714, which did not move due to the holiday season. This led to a pile up and FLEX-715 and FLEX-717 was held up as well</t>
        </is>
      </c>
      <c r="AJ7" s="151" t="inlineStr">
        <is>
          <t>Flex '26 Sprint10: 5/14 - 5/28</t>
        </is>
      </c>
      <c r="AK7" s="143" t="n">
        <v>6</v>
      </c>
      <c r="AL7" s="143" t="n">
        <v>47</v>
      </c>
      <c r="AN7" s="151" t="inlineStr">
        <is>
          <t>Flex '26 Sprint10: 5/14 - 5/28</t>
        </is>
      </c>
      <c r="AO7" s="143" t="n">
        <v>0</v>
      </c>
      <c r="AP7" s="143" t="n">
        <v>6</v>
      </c>
      <c r="AW7" s="258" t="n"/>
      <c r="AX7" s="195" t="n"/>
      <c r="AY7" s="259" t="n"/>
    </row>
    <row r="8" ht="18" customHeight="1">
      <c r="A8" s="198" t="n"/>
      <c r="B8" s="202" t="n"/>
      <c r="C8" s="100" t="inlineStr">
        <is>
          <t>Delivery Manager</t>
        </is>
      </c>
      <c r="D8" s="301" t="inlineStr">
        <is>
          <t>Rajesh</t>
        </is>
      </c>
      <c r="F8" s="225" t="n"/>
      <c r="G8" s="225" t="n"/>
      <c r="H8" s="205" t="n"/>
      <c r="I8" s="205" t="n"/>
      <c r="J8" s="205" t="n"/>
      <c r="K8" s="205" t="n"/>
      <c r="L8" s="307" t="inlineStr">
        <is>
          <t>Overall Status</t>
        </is>
      </c>
      <c r="N8" s="184" t="inlineStr">
        <is>
          <t>Green</t>
        </is>
      </c>
      <c r="O8" s="206" t="n"/>
      <c r="P8" s="198" t="n"/>
      <c r="Q8" s="198" t="n"/>
      <c r="R8" s="170" t="inlineStr">
        <is>
          <t>Flex '26 Sprint 1: 1/8 - 1/22</t>
        </is>
      </c>
      <c r="S8" s="74" t="n">
        <v>69</v>
      </c>
      <c r="T8" s="74" t="n">
        <v>45</v>
      </c>
      <c r="U8" s="74" t="n">
        <v>15</v>
      </c>
      <c r="V8" s="74" t="n">
        <v>30</v>
      </c>
      <c r="W8" s="74" t="n">
        <v>5</v>
      </c>
      <c r="X8" s="74" t="n">
        <v>5</v>
      </c>
      <c r="Y8" s="74" t="n">
        <v>3</v>
      </c>
      <c r="Z8" s="74" t="n">
        <v>21</v>
      </c>
      <c r="AA8" s="64">
        <f>U8-W8</f>
        <v/>
      </c>
      <c r="AB8" s="150">
        <f>W8/U8</f>
        <v/>
      </c>
      <c r="AC8" s="150">
        <f>X8/V8</f>
        <v/>
      </c>
      <c r="AD8" s="150">
        <f>Y8/U8</f>
        <v/>
      </c>
      <c r="AE8" s="150">
        <f>Z8/V8</f>
        <v/>
      </c>
      <c r="AF8" s="150">
        <f>T8/S8</f>
        <v/>
      </c>
      <c r="AG8" s="74" t="n"/>
      <c r="AH8" s="143" t="inlineStr">
        <is>
          <t>There was a carryover from previous sprint which explains the spike in completed story points. FLEX-712 was reopened due to a missing validation of invalid Guid's. It was fixed and completed within the sprint</t>
        </is>
      </c>
      <c r="AJ8" s="151" t="inlineStr">
        <is>
          <t>Grand Total</t>
        </is>
      </c>
      <c r="AK8" s="143" t="n">
        <v>41</v>
      </c>
      <c r="AL8" s="143" t="n">
        <v>203</v>
      </c>
      <c r="AN8" s="151" t="inlineStr">
        <is>
          <t>Grand Total</t>
        </is>
      </c>
      <c r="AO8" s="143" t="n">
        <v>3</v>
      </c>
      <c r="AP8" s="143" t="n">
        <v>38</v>
      </c>
      <c r="AW8" s="258" t="n"/>
      <c r="AX8" s="195" t="n"/>
      <c r="AY8" s="259" t="n"/>
    </row>
    <row r="9" ht="18" customHeight="1">
      <c r="A9" s="198" t="n"/>
      <c r="B9" s="202" t="n"/>
      <c r="C9" s="100" t="inlineStr">
        <is>
          <t>Project Manager/Lead</t>
        </is>
      </c>
      <c r="D9" s="304" t="inlineStr">
        <is>
          <t>Saurabh Chowdhury</t>
        </is>
      </c>
      <c r="F9" s="203" t="n"/>
      <c r="G9" s="203" t="n"/>
      <c r="H9" s="205" t="n"/>
      <c r="I9" s="205" t="n"/>
      <c r="J9" s="205" t="n"/>
      <c r="K9" s="205" t="n"/>
      <c r="L9" s="205" t="n"/>
      <c r="M9" s="205" t="n"/>
      <c r="N9" s="205" t="n"/>
      <c r="O9" s="206" t="n"/>
      <c r="P9" s="198" t="n"/>
      <c r="Q9" s="198" t="n"/>
      <c r="R9" s="169" t="inlineStr">
        <is>
          <t>Flex '26 Sprint 2: 1/22 - 2/5</t>
        </is>
      </c>
      <c r="S9" s="64" t="n">
        <v>64</v>
      </c>
      <c r="T9" s="64" t="n">
        <v>56</v>
      </c>
      <c r="U9" s="64" t="n">
        <v>7</v>
      </c>
      <c r="V9" s="64" t="n">
        <v>49</v>
      </c>
      <c r="W9" s="64" t="n">
        <v>0</v>
      </c>
      <c r="X9" s="64" t="n">
        <v>8</v>
      </c>
      <c r="Y9" s="64" t="n">
        <v>0</v>
      </c>
      <c r="Z9" s="64" t="n">
        <v>8</v>
      </c>
      <c r="AA9" s="64">
        <f>U9-W9</f>
        <v/>
      </c>
      <c r="AB9" s="150">
        <f>W9/U9</f>
        <v/>
      </c>
      <c r="AC9" s="150">
        <f>X9/V9</f>
        <v/>
      </c>
      <c r="AD9" s="150">
        <f>Y9/U9</f>
        <v/>
      </c>
      <c r="AE9" s="150">
        <f>Z9/V9</f>
        <v/>
      </c>
      <c r="AF9" s="150">
        <f>T9/S9</f>
        <v/>
      </c>
      <c r="AG9" s="150" t="n"/>
      <c r="AH9" s="143" t="inlineStr">
        <is>
          <t>FLEX-751 was an invalid reopen by PM to close ticket</t>
        </is>
      </c>
      <c r="AW9" s="258" t="n"/>
      <c r="AX9" s="195" t="n"/>
      <c r="AY9" s="259" t="n"/>
    </row>
    <row r="10" ht="18" customHeight="1">
      <c r="A10" s="198" t="n"/>
      <c r="B10" s="202" t="n"/>
      <c r="C10" s="100" t="inlineStr">
        <is>
          <t>Client POC</t>
        </is>
      </c>
      <c r="D10" s="304" t="inlineStr">
        <is>
          <t>David Wilson</t>
        </is>
      </c>
      <c r="F10" s="203" t="n"/>
      <c r="G10" s="203" t="n"/>
      <c r="H10" s="205" t="n"/>
      <c r="I10" s="205" t="n"/>
      <c r="J10" s="205" t="n"/>
      <c r="K10" s="205" t="n"/>
      <c r="L10" s="205" t="n"/>
      <c r="M10" s="205" t="n"/>
      <c r="N10" s="205" t="n"/>
      <c r="O10" s="206" t="n"/>
      <c r="P10" s="198" t="n"/>
      <c r="Q10" s="198" t="n"/>
      <c r="R10" s="169" t="inlineStr">
        <is>
          <t>Flex '26 Sprint 3: 2/5 - 2/19</t>
        </is>
      </c>
      <c r="S10" s="64" t="n">
        <v>55</v>
      </c>
      <c r="T10" s="64" t="n">
        <v>41</v>
      </c>
      <c r="U10" s="64" t="n">
        <v>5</v>
      </c>
      <c r="V10" s="64" t="n">
        <v>36</v>
      </c>
      <c r="W10" s="64" t="n">
        <v>0</v>
      </c>
      <c r="X10" s="64" t="n">
        <v>2</v>
      </c>
      <c r="Y10" s="64" t="n">
        <v>3</v>
      </c>
      <c r="Z10" s="64" t="n">
        <v>11</v>
      </c>
      <c r="AA10" s="64">
        <f>U10-W10</f>
        <v/>
      </c>
      <c r="AB10" s="150">
        <f>W10/U10</f>
        <v/>
      </c>
      <c r="AC10" s="150">
        <f>X10/V10</f>
        <v/>
      </c>
      <c r="AD10" s="150">
        <f>Y10/U10</f>
        <v/>
      </c>
      <c r="AE10" s="150">
        <f>Z10/V10</f>
        <v/>
      </c>
      <c r="AF10" s="150">
        <f>T10/S10</f>
        <v/>
      </c>
      <c r="AG10" s="150" t="n"/>
      <c r="AH10" s="143" t="inlineStr">
        <is>
          <t>FLEX-828 of 3 story points, could have been completed, but Product did not UAT for 5 days. It was moved to UAT on 17th Feb and moved to PD on 26th Feb</t>
        </is>
      </c>
      <c r="AW10" s="258" t="n"/>
      <c r="AX10" s="195" t="n"/>
      <c r="AY10" s="259" t="n"/>
    </row>
    <row r="11" ht="18" customHeight="1">
      <c r="A11" s="198" t="n"/>
      <c r="B11" s="202" t="n"/>
      <c r="C11" s="100" t="inlineStr">
        <is>
          <t>Client Feedback</t>
        </is>
      </c>
      <c r="D11" s="304" t="inlineStr">
        <is>
          <t>-</t>
        </is>
      </c>
      <c r="F11" s="225" t="n"/>
      <c r="G11" s="225" t="n"/>
      <c r="H11" s="205" t="n"/>
      <c r="I11" s="205" t="n"/>
      <c r="J11" s="209" t="n"/>
      <c r="K11" s="209" t="n"/>
      <c r="L11" s="209" t="n"/>
      <c r="M11" s="209" t="n"/>
      <c r="N11" s="209" t="n"/>
      <c r="O11" s="206" t="n"/>
      <c r="P11" s="198" t="n"/>
      <c r="Q11" s="198" t="n"/>
      <c r="R11" s="169" t="inlineStr">
        <is>
          <t>Flex '26 Sprint 4: 2/19 - 3/5</t>
        </is>
      </c>
      <c r="S11" s="64" t="n">
        <v>64</v>
      </c>
      <c r="T11" s="64" t="n">
        <v>46</v>
      </c>
      <c r="U11" s="64" t="n">
        <v>4</v>
      </c>
      <c r="V11" s="64" t="n">
        <v>30</v>
      </c>
      <c r="W11" s="64" t="n">
        <v>3</v>
      </c>
      <c r="X11" s="64" t="n">
        <v>0</v>
      </c>
      <c r="Y11" s="64" t="n">
        <v>12</v>
      </c>
      <c r="Z11" s="64" t="n">
        <v>6</v>
      </c>
      <c r="AA11" s="64">
        <f>U11-W11</f>
        <v/>
      </c>
      <c r="AB11" s="150">
        <f>W11/U11</f>
        <v/>
      </c>
      <c r="AC11" s="150">
        <f>X11/V11</f>
        <v/>
      </c>
      <c r="AD11" s="150">
        <f>Y11/U11</f>
        <v/>
      </c>
      <c r="AE11" s="150">
        <f>Z11/V11</f>
        <v/>
      </c>
      <c r="AF11" s="150">
        <f>T11/S11</f>
        <v/>
      </c>
      <c r="AG11" s="150" t="n"/>
      <c r="AH11" s="196" t="inlineStr">
        <is>
          <t>FLEX-839,839,840 carried over due to mismatch between Figma design and Ticket AC. Some changes in Figma were not mentioned in the AC</t>
        </is>
      </c>
      <c r="AJ11" s="166" t="inlineStr">
        <is>
          <t>Sprint</t>
        </is>
      </c>
      <c r="AK11" s="83" t="inlineStr">
        <is>
          <t>V2</t>
        </is>
      </c>
      <c r="AL11" s="83" t="inlineStr">
        <is>
          <t>LT</t>
        </is>
      </c>
      <c r="AN11" s="151" t="inlineStr">
        <is>
          <t>QA Passed</t>
        </is>
      </c>
      <c r="AO11" s="143">
        <f>GETPIVOTDATA("Sum of QA Passed",$AN$1)</f>
        <v/>
      </c>
      <c r="AW11" s="258" t="n"/>
      <c r="AX11" s="195" t="n"/>
      <c r="AY11" s="259" t="n"/>
    </row>
    <row r="12" ht="18" customHeight="1">
      <c r="A12" s="198" t="n"/>
      <c r="B12" s="202" t="n"/>
      <c r="C12" s="100" t="inlineStr">
        <is>
          <t>Team Allocation</t>
        </is>
      </c>
      <c r="D12" s="210" t="n"/>
      <c r="E12" s="210" t="n"/>
      <c r="F12" s="210" t="n"/>
      <c r="G12" s="210" t="n"/>
      <c r="H12" s="205" t="n"/>
      <c r="I12" s="205" t="n"/>
      <c r="J12" s="209" t="n"/>
      <c r="K12" s="209" t="n"/>
      <c r="L12" s="209" t="n"/>
      <c r="M12" s="209" t="n"/>
      <c r="N12" s="209" t="n"/>
      <c r="O12" s="206" t="n"/>
      <c r="P12" s="198" t="n"/>
      <c r="Q12" s="198" t="n"/>
      <c r="R12" s="169" t="inlineStr">
        <is>
          <t>Flex '26 Sprint 5: 3/5 - 3/19</t>
        </is>
      </c>
      <c r="S12" s="64" t="n">
        <v>53</v>
      </c>
      <c r="T12" s="64" t="n">
        <v>37</v>
      </c>
      <c r="U12" s="64" t="n">
        <v>13</v>
      </c>
      <c r="V12" s="64" t="n">
        <v>24</v>
      </c>
      <c r="W12" s="64" t="n">
        <v>0</v>
      </c>
      <c r="X12" s="64" t="n">
        <v>2</v>
      </c>
      <c r="Y12" s="64" t="n">
        <v>0</v>
      </c>
      <c r="Z12" s="64" t="n">
        <v>16</v>
      </c>
      <c r="AA12" s="64">
        <f>U12-W12</f>
        <v/>
      </c>
      <c r="AB12" s="150">
        <f>W12/U12</f>
        <v/>
      </c>
      <c r="AC12" s="150">
        <f>X12/V12</f>
        <v/>
      </c>
      <c r="AD12" s="150">
        <f>Y12/U12</f>
        <v/>
      </c>
      <c r="AE12" s="150">
        <f>Z12/V12</f>
        <v/>
      </c>
      <c r="AF12" s="150">
        <f>T12/S12</f>
        <v/>
      </c>
      <c r="AG12" s="150" t="n"/>
      <c r="AH12" s="196" t="n"/>
      <c r="AJ12" s="166">
        <f>AJ2</f>
        <v/>
      </c>
      <c r="AK12" s="165">
        <f>AK2</f>
        <v/>
      </c>
      <c r="AL12" s="165">
        <f>AL2</f>
        <v/>
      </c>
      <c r="AN12" s="151" t="inlineStr">
        <is>
          <t>Rework</t>
        </is>
      </c>
      <c r="AO12" s="143">
        <f>GETPIVOTDATA("Sum of Rework",$AN$1)</f>
        <v/>
      </c>
      <c r="AW12" s="258" t="n"/>
      <c r="AX12" s="195" t="n"/>
      <c r="AY12" s="259" t="n"/>
    </row>
    <row r="13" ht="18" customHeight="1">
      <c r="A13" s="198" t="n"/>
      <c r="B13" s="202" t="n"/>
      <c r="C13" s="241" t="inlineStr">
        <is>
          <t>Off-shore team</t>
        </is>
      </c>
      <c r="D13" s="306" t="inlineStr">
        <is>
          <t>Allocated</t>
        </is>
      </c>
      <c r="E13" s="315" t="n"/>
      <c r="F13" s="239" t="n">
        <v>1</v>
      </c>
      <c r="G13" s="303" t="inlineStr">
        <is>
          <t>Billable</t>
        </is>
      </c>
      <c r="H13" s="315" t="n"/>
      <c r="I13" s="239" t="n">
        <v>1</v>
      </c>
      <c r="J13" s="209" t="n"/>
      <c r="K13" s="209" t="n"/>
      <c r="L13" s="209" t="n"/>
      <c r="M13" s="209" t="n"/>
      <c r="N13" s="209" t="n"/>
      <c r="O13" s="206" t="n"/>
      <c r="P13" s="198" t="n"/>
      <c r="Q13" s="198" t="n"/>
      <c r="R13" s="169" t="inlineStr">
        <is>
          <t>Flex '26 Sprint 6: 3/19 - 4/2</t>
        </is>
      </c>
      <c r="S13" s="64" t="n">
        <v>55</v>
      </c>
      <c r="T13" s="64" t="n">
        <v>29</v>
      </c>
      <c r="U13" s="64" t="n">
        <v>8</v>
      </c>
      <c r="V13" s="64" t="n">
        <v>21</v>
      </c>
      <c r="W13" s="64" t="n">
        <v>3</v>
      </c>
      <c r="X13" s="64" t="n">
        <v>5</v>
      </c>
      <c r="Y13" s="64" t="n">
        <v>0</v>
      </c>
      <c r="Z13" s="64" t="n">
        <v>26</v>
      </c>
      <c r="AA13" s="64">
        <f>U13-W13</f>
        <v/>
      </c>
      <c r="AB13" s="150">
        <f>W13/U13</f>
        <v/>
      </c>
      <c r="AC13" s="150">
        <f>X13/V13</f>
        <v/>
      </c>
      <c r="AD13" s="150">
        <f>Y13/U13</f>
        <v/>
      </c>
      <c r="AE13" s="150">
        <f>Z13/V13</f>
        <v/>
      </c>
      <c r="AF13" s="150">
        <f>T13/S13</f>
        <v/>
      </c>
      <c r="AG13" s="150" t="n"/>
      <c r="AH13" s="196" t="n"/>
      <c r="AJ13" s="166">
        <f>AJ3</f>
        <v/>
      </c>
      <c r="AK13" s="165">
        <f>AK3</f>
        <v/>
      </c>
      <c r="AL13" s="165">
        <f>AL3</f>
        <v/>
      </c>
      <c r="AN13" s="151" t="n"/>
      <c r="AW13" s="258" t="n"/>
      <c r="AX13" s="195" t="n"/>
      <c r="AY13" s="259" t="n"/>
    </row>
    <row r="14" ht="18" customHeight="1">
      <c r="A14" s="198" t="n"/>
      <c r="B14" s="199" t="n"/>
      <c r="C14" s="241" t="inlineStr">
        <is>
          <t>On-site team</t>
        </is>
      </c>
      <c r="D14" s="306" t="inlineStr">
        <is>
          <t>Allocated</t>
        </is>
      </c>
      <c r="E14" s="315" t="n"/>
      <c r="F14" s="239" t="n">
        <v>1</v>
      </c>
      <c r="G14" s="244" t="n"/>
      <c r="H14" s="244" t="n"/>
      <c r="I14" s="244" t="n"/>
      <c r="J14" s="200" t="n"/>
      <c r="K14" s="200" t="n"/>
      <c r="L14" s="200" t="n"/>
      <c r="M14" s="200" t="n"/>
      <c r="N14" s="200" t="n"/>
      <c r="O14" s="201" t="n"/>
      <c r="P14" s="198" t="n"/>
      <c r="Q14" s="198" t="n"/>
      <c r="R14" s="169" t="inlineStr">
        <is>
          <t>Flex '26 Sprint 7: 4/2 - 4/16</t>
        </is>
      </c>
      <c r="S14" s="64" t="n">
        <v>54</v>
      </c>
      <c r="T14" s="64" t="n">
        <v>47</v>
      </c>
      <c r="U14" s="64" t="n">
        <v>3</v>
      </c>
      <c r="V14" s="64" t="n">
        <v>44</v>
      </c>
      <c r="W14" s="64" t="n">
        <v>0</v>
      </c>
      <c r="X14" s="64" t="n">
        <v>4</v>
      </c>
      <c r="Y14" s="64" t="n">
        <v>2</v>
      </c>
      <c r="Z14" s="64" t="n">
        <v>5</v>
      </c>
      <c r="AA14" s="64">
        <f>U14-W14</f>
        <v/>
      </c>
      <c r="AB14" s="150">
        <f>W14/U14</f>
        <v/>
      </c>
      <c r="AC14" s="150">
        <f>X14/V14</f>
        <v/>
      </c>
      <c r="AD14" s="150">
        <f>Y14/U14</f>
        <v/>
      </c>
      <c r="AE14" s="150">
        <f>Z14/V14</f>
        <v/>
      </c>
      <c r="AF14" s="150">
        <f>T14/S14</f>
        <v/>
      </c>
      <c r="AG14" s="150" t="n"/>
      <c r="AH14" s="196" t="n"/>
      <c r="AJ14" s="166">
        <f>AJ4</f>
        <v/>
      </c>
      <c r="AK14" s="165">
        <f>AK4</f>
        <v/>
      </c>
      <c r="AL14" s="165">
        <f>AL4</f>
        <v/>
      </c>
      <c r="AN14" s="151" t="n"/>
      <c r="AW14" s="258" t="n"/>
      <c r="AX14" s="195" t="n"/>
      <c r="AY14" s="259" t="n"/>
    </row>
    <row r="15" ht="33" customHeight="1" thickBot="1">
      <c r="A15" s="198" t="n"/>
      <c r="B15" s="211" t="n"/>
      <c r="C15" s="187" t="n"/>
      <c r="D15" s="212" t="n"/>
      <c r="E15" s="212" t="n"/>
      <c r="F15" s="159" t="n"/>
      <c r="G15" s="212" t="n"/>
      <c r="H15" s="212" t="n"/>
      <c r="I15" s="212" t="n"/>
      <c r="J15" s="212" t="n"/>
      <c r="K15" s="212" t="n"/>
      <c r="L15" s="212" t="n"/>
      <c r="M15" s="212" t="n"/>
      <c r="N15" s="226" t="n"/>
      <c r="O15" s="213" t="n"/>
      <c r="P15" s="198" t="n"/>
      <c r="Q15" s="198" t="n"/>
      <c r="R15" s="169" t="inlineStr">
        <is>
          <t>Flex '26 Sprint 8: 4/16 - 4/30</t>
        </is>
      </c>
      <c r="S15" s="64" t="n">
        <v>54</v>
      </c>
      <c r="T15" s="64" t="n">
        <v>41</v>
      </c>
      <c r="U15" s="64" t="n">
        <v>8</v>
      </c>
      <c r="V15" s="64" t="n">
        <v>33</v>
      </c>
      <c r="W15" s="64" t="n">
        <v>0</v>
      </c>
      <c r="X15" s="64" t="n">
        <v>6</v>
      </c>
      <c r="Y15" s="64" t="n">
        <v>0</v>
      </c>
      <c r="Z15" s="64" t="n">
        <v>11</v>
      </c>
      <c r="AA15" s="64">
        <f>U15-W15</f>
        <v/>
      </c>
      <c r="AB15" s="150">
        <f>W15/U15</f>
        <v/>
      </c>
      <c r="AC15" s="150">
        <f>X15/V15</f>
        <v/>
      </c>
      <c r="AD15" s="150">
        <f>Y15/U15</f>
        <v/>
      </c>
      <c r="AE15" s="150">
        <f>Z15/V15</f>
        <v/>
      </c>
      <c r="AF15" s="150">
        <f>T15/S15</f>
        <v/>
      </c>
      <c r="AG15" s="150" t="n"/>
      <c r="AH15" s="196" t="n"/>
      <c r="AJ15" s="166">
        <f>AJ5</f>
        <v/>
      </c>
      <c r="AK15" s="165">
        <f>AK5</f>
        <v/>
      </c>
      <c r="AL15" s="165">
        <f>AL5</f>
        <v/>
      </c>
      <c r="AW15" s="258" t="n"/>
      <c r="AX15" s="195" t="n"/>
      <c r="AY15" s="259" t="n"/>
    </row>
    <row r="16" ht="18" customHeight="1">
      <c r="A16" s="198" t="n"/>
      <c r="B16" s="198" t="n"/>
      <c r="C16" s="198" t="n"/>
      <c r="D16" s="198" t="n"/>
      <c r="E16" s="198" t="n"/>
      <c r="F16" s="198" t="n"/>
      <c r="G16" s="198" t="n"/>
      <c r="H16" s="198" t="n"/>
      <c r="I16" s="198" t="n"/>
      <c r="J16" s="198" t="n"/>
      <c r="K16" s="198" t="n"/>
      <c r="L16" s="198" t="n"/>
      <c r="M16" s="198" t="n"/>
      <c r="N16" s="198" t="n"/>
      <c r="O16" s="198" t="n"/>
      <c r="P16" s="198" t="n"/>
      <c r="Q16" s="198" t="n"/>
      <c r="R16" s="169" t="inlineStr">
        <is>
          <t>Flex '26 Sprint 9: 4/30 - 5/14</t>
        </is>
      </c>
      <c r="S16" s="64" t="n">
        <v>42</v>
      </c>
      <c r="T16" s="64" t="n">
        <v>37</v>
      </c>
      <c r="U16" s="64" t="n">
        <v>3</v>
      </c>
      <c r="V16" s="64" t="n">
        <v>34</v>
      </c>
      <c r="W16" s="64" t="n">
        <v>0</v>
      </c>
      <c r="X16" s="64" t="n">
        <v>2</v>
      </c>
      <c r="Y16" s="64" t="n">
        <v>0</v>
      </c>
      <c r="Z16" s="64" t="n">
        <v>5</v>
      </c>
      <c r="AA16" s="64">
        <f>U16-W16</f>
        <v/>
      </c>
      <c r="AB16" s="150">
        <f>W16/U16</f>
        <v/>
      </c>
      <c r="AC16" s="150">
        <f>X16/V16</f>
        <v/>
      </c>
      <c r="AD16" s="150">
        <f>Y16/U16</f>
        <v/>
      </c>
      <c r="AE16" s="150">
        <f>Z16/V16</f>
        <v/>
      </c>
      <c r="AF16" s="150">
        <f>T16/S16</f>
        <v/>
      </c>
      <c r="AG16" s="150" t="n"/>
      <c r="AH16" s="196" t="n"/>
      <c r="AJ16" s="166">
        <f>AJ6</f>
        <v/>
      </c>
      <c r="AK16" s="165">
        <f>AK6</f>
        <v/>
      </c>
      <c r="AL16" s="165">
        <f>AL6</f>
        <v/>
      </c>
      <c r="AW16" s="258" t="n"/>
      <c r="AX16" s="195" t="n"/>
      <c r="AY16" s="259" t="n"/>
    </row>
    <row r="17" ht="18" customHeight="1">
      <c r="A17" s="198" t="n"/>
      <c r="B17" s="198" t="n"/>
      <c r="C17" s="198" t="n"/>
      <c r="D17" s="198" t="n"/>
      <c r="E17" s="198" t="n"/>
      <c r="F17" s="198" t="n"/>
      <c r="G17" s="198" t="n"/>
      <c r="H17" s="198" t="n"/>
      <c r="I17" s="198" t="n"/>
      <c r="J17" s="198" t="n"/>
      <c r="K17" s="198" t="n"/>
      <c r="L17" s="198" t="n"/>
      <c r="M17" s="198" t="n"/>
      <c r="N17" s="198" t="n"/>
      <c r="O17" s="198" t="n"/>
      <c r="P17" s="198" t="n"/>
      <c r="Q17" s="198" t="n"/>
      <c r="R17" s="169" t="inlineStr">
        <is>
          <t>Flex '26 Sprint10: 5/14 - 5/28</t>
        </is>
      </c>
      <c r="S17" s="64" t="n">
        <v>63</v>
      </c>
      <c r="T17" s="64" t="n">
        <v>53</v>
      </c>
      <c r="U17" s="64" t="n">
        <v>6</v>
      </c>
      <c r="V17" s="64" t="n">
        <v>47</v>
      </c>
      <c r="W17" s="64" t="n">
        <v>0</v>
      </c>
      <c r="X17" s="64" t="n">
        <v>6</v>
      </c>
      <c r="Y17" s="64" t="n">
        <v>4</v>
      </c>
      <c r="Z17" s="64" t="n">
        <v>6</v>
      </c>
      <c r="AA17" s="64">
        <f>U17-W17</f>
        <v/>
      </c>
      <c r="AB17" s="150">
        <f>W17/U17</f>
        <v/>
      </c>
      <c r="AC17" s="150">
        <f>X17/V17</f>
        <v/>
      </c>
      <c r="AD17" s="150">
        <f>Y17/U17</f>
        <v/>
      </c>
      <c r="AE17" s="150">
        <f>Z17/V17</f>
        <v/>
      </c>
      <c r="AF17" s="150">
        <f>T17/S17</f>
        <v/>
      </c>
      <c r="AG17" s="150" t="n"/>
      <c r="AH17" s="196" t="n"/>
      <c r="AJ17" s="166">
        <f>AJ7</f>
        <v/>
      </c>
      <c r="AK17" s="165">
        <f>AK7</f>
        <v/>
      </c>
      <c r="AL17" s="165">
        <f>AL7</f>
        <v/>
      </c>
      <c r="AW17" s="258" t="n"/>
      <c r="AX17" s="195" t="n"/>
      <c r="AY17" s="259" t="n"/>
    </row>
    <row r="18" ht="18" customHeight="1">
      <c r="A18" s="198" t="n"/>
      <c r="B18" s="198" t="n"/>
      <c r="C18" s="198" t="n"/>
      <c r="D18" s="198" t="n"/>
      <c r="E18" s="198" t="n"/>
      <c r="F18" s="198" t="n"/>
      <c r="G18" s="198" t="n"/>
      <c r="H18" s="198" t="n"/>
      <c r="I18" s="198" t="n"/>
      <c r="J18" s="198" t="n"/>
      <c r="K18" s="198" t="n"/>
      <c r="L18" s="198" t="n"/>
      <c r="M18" s="198" t="n"/>
      <c r="N18" s="198" t="n"/>
      <c r="O18" s="198" t="n"/>
      <c r="P18" s="198" t="n"/>
      <c r="Q18" s="198" t="n"/>
      <c r="R18" s="169" t="n"/>
      <c r="S18" s="64" t="n"/>
      <c r="T18" s="64" t="n"/>
      <c r="U18" s="64" t="n"/>
      <c r="V18" s="64" t="n"/>
      <c r="W18" s="64" t="n"/>
      <c r="X18" s="64" t="n"/>
      <c r="Y18" s="64" t="n"/>
      <c r="Z18" s="64" t="n"/>
      <c r="AA18" s="64" t="n"/>
      <c r="AB18" s="150" t="n"/>
      <c r="AC18" s="150" t="n"/>
      <c r="AD18" s="150" t="n"/>
      <c r="AE18" s="150" t="n"/>
      <c r="AF18" s="150" t="n"/>
      <c r="AG18" s="150" t="n"/>
      <c r="AJ18" s="166">
        <f>AJ8</f>
        <v/>
      </c>
      <c r="AK18" s="165">
        <f>AK8</f>
        <v/>
      </c>
      <c r="AL18" s="165">
        <f>AL8</f>
        <v/>
      </c>
      <c r="AW18" s="260" t="n"/>
      <c r="AX18" s="261" t="n"/>
      <c r="AY18" s="262" t="n"/>
    </row>
    <row r="19" ht="18" customHeight="1">
      <c r="A19" s="198" t="n"/>
      <c r="B19" s="198" t="n"/>
      <c r="C19" s="198" t="n"/>
      <c r="D19" s="198" t="n"/>
      <c r="E19" s="198" t="n"/>
      <c r="F19" s="198" t="n"/>
      <c r="G19" s="198" t="n"/>
      <c r="H19" s="198" t="n"/>
      <c r="I19" s="198" t="n"/>
      <c r="J19" s="198" t="n"/>
      <c r="K19" s="198" t="n"/>
      <c r="L19" s="198" t="n"/>
      <c r="M19" s="198" t="n"/>
      <c r="N19" s="198" t="n"/>
      <c r="O19" s="198" t="n"/>
      <c r="P19" s="198" t="n"/>
      <c r="Q19" s="198" t="n"/>
      <c r="R19" s="169" t="n"/>
      <c r="S19" s="64" t="n"/>
      <c r="T19" s="64" t="n"/>
      <c r="U19" s="64" t="n"/>
      <c r="V19" s="64" t="n"/>
      <c r="W19" s="64" t="n"/>
      <c r="X19" s="64" t="n"/>
      <c r="Y19" s="64" t="n"/>
      <c r="Z19" s="64" t="n"/>
      <c r="AA19" s="64" t="n"/>
      <c r="AB19" s="150" t="n"/>
      <c r="AC19" s="150" t="n"/>
      <c r="AD19" s="150" t="n"/>
      <c r="AE19" s="150" t="n"/>
      <c r="AF19" s="150" t="n"/>
      <c r="AG19" s="150" t="n"/>
    </row>
    <row r="20" ht="18" customHeight="1">
      <c r="A20" s="198" t="n"/>
      <c r="B20" s="198" t="n"/>
      <c r="C20" s="198" t="n"/>
      <c r="D20" s="198" t="n"/>
      <c r="E20" s="198" t="n"/>
      <c r="F20" s="198" t="n"/>
      <c r="G20" s="198" t="n"/>
      <c r="H20" s="198" t="n"/>
      <c r="I20" s="198" t="n"/>
      <c r="J20" s="198" t="n"/>
      <c r="K20" s="198" t="n"/>
      <c r="L20" s="198" t="n"/>
      <c r="M20" s="198" t="n"/>
      <c r="N20" s="198" t="n"/>
      <c r="O20" s="198" t="n"/>
      <c r="P20" s="198" t="n"/>
      <c r="Q20" s="198" t="n"/>
      <c r="R20" s="169" t="n"/>
      <c r="S20" s="64" t="n"/>
      <c r="T20" s="64" t="n"/>
      <c r="U20" s="64" t="n"/>
      <c r="V20" s="64" t="n"/>
      <c r="W20" s="64" t="n"/>
      <c r="X20" s="64" t="n"/>
      <c r="Y20" s="64" t="n"/>
      <c r="Z20" s="64" t="n"/>
      <c r="AA20" s="64" t="n"/>
      <c r="AB20" s="150" t="n"/>
      <c r="AC20" s="150" t="n"/>
      <c r="AD20" s="150" t="n"/>
      <c r="AE20" s="150" t="n"/>
      <c r="AF20" s="150" t="n"/>
      <c r="AG20" s="150" t="n"/>
    </row>
    <row r="21" ht="18" customHeight="1">
      <c r="A21" s="198" t="n"/>
      <c r="B21" s="198" t="n"/>
      <c r="C21" s="198" t="n"/>
      <c r="D21" s="198" t="n"/>
      <c r="E21" s="198" t="n"/>
      <c r="F21" s="198" t="n"/>
      <c r="G21" s="198" t="n"/>
      <c r="H21" s="198" t="n"/>
      <c r="I21" s="198" t="n"/>
      <c r="J21" s="198" t="n"/>
      <c r="K21" s="198" t="n"/>
      <c r="L21" s="198" t="n"/>
      <c r="M21" s="198" t="n"/>
      <c r="N21" s="198" t="n"/>
      <c r="O21" s="198" t="n"/>
      <c r="P21" s="198" t="n"/>
      <c r="Q21" s="198" t="n"/>
      <c r="R21" s="169" t="n"/>
      <c r="S21" s="64" t="n"/>
      <c r="T21" s="64" t="n"/>
      <c r="U21" s="64" t="n"/>
      <c r="V21" s="64" t="n"/>
      <c r="W21" s="64" t="n"/>
      <c r="X21" s="64" t="n"/>
      <c r="Y21" s="64" t="n"/>
      <c r="Z21" s="64" t="n"/>
      <c r="AA21" s="64" t="n"/>
      <c r="AB21" s="150" t="n"/>
      <c r="AC21" s="150" t="n"/>
      <c r="AD21" s="150" t="n"/>
      <c r="AE21" s="150" t="n"/>
      <c r="AF21" s="150" t="n"/>
      <c r="AG21" s="150" t="n"/>
    </row>
    <row r="22" ht="18" customHeight="1">
      <c r="A22" s="198" t="n"/>
      <c r="B22" s="198" t="n"/>
      <c r="C22" s="198" t="n"/>
      <c r="D22" s="198" t="n"/>
      <c r="E22" s="198" t="n"/>
      <c r="F22" s="198" t="n"/>
      <c r="G22" s="198" t="n"/>
      <c r="H22" s="198" t="n"/>
      <c r="I22" s="198" t="n"/>
      <c r="J22" s="198" t="n"/>
      <c r="K22" s="198" t="n"/>
      <c r="L22" s="198" t="n"/>
      <c r="M22" s="198" t="n"/>
      <c r="N22" s="198" t="n"/>
      <c r="O22" s="198" t="n"/>
      <c r="P22" s="198" t="n"/>
      <c r="Q22" s="198" t="n"/>
      <c r="R22" s="169" t="n"/>
      <c r="S22" s="64" t="n"/>
      <c r="T22" s="64" t="n"/>
      <c r="U22" s="64" t="n"/>
      <c r="V22" s="64" t="n"/>
      <c r="W22" s="64" t="n"/>
      <c r="X22" s="64" t="n"/>
      <c r="Y22" s="64" t="n"/>
      <c r="Z22" s="64" t="n"/>
      <c r="AA22" s="64" t="n"/>
      <c r="AB22" s="150" t="n"/>
      <c r="AC22" s="150" t="n"/>
      <c r="AD22" s="150" t="n"/>
      <c r="AE22" s="150" t="n"/>
      <c r="AF22" s="150" t="n"/>
      <c r="AG22" s="150" t="n"/>
      <c r="AJ22" s="149" t="inlineStr">
        <is>
          <t>Row Labels</t>
        </is>
      </c>
      <c r="AK22" s="143" t="inlineStr">
        <is>
          <t>Sum of V2 Reopen Percentage</t>
        </is>
      </c>
      <c r="AL22" s="143" t="inlineStr">
        <is>
          <t>Sum of LT Reopen Percentage</t>
        </is>
      </c>
      <c r="AN22" s="149" t="inlineStr">
        <is>
          <t>Row Labels</t>
        </is>
      </c>
      <c r="AO22" s="143" t="inlineStr">
        <is>
          <t>Sum of V2 Carryover Percentage</t>
        </is>
      </c>
      <c r="AP22" s="143" t="inlineStr">
        <is>
          <t>Sum of LT Carryover Percentage</t>
        </is>
      </c>
    </row>
    <row r="23" ht="18" customHeight="1">
      <c r="A23" s="198" t="n"/>
      <c r="B23" s="198" t="n"/>
      <c r="C23" s="198" t="n"/>
      <c r="D23" s="198" t="n"/>
      <c r="E23" s="198" t="n"/>
      <c r="F23" s="198" t="n"/>
      <c r="G23" s="198" t="n"/>
      <c r="H23" s="198" t="n"/>
      <c r="I23" s="198" t="n"/>
      <c r="J23" s="198" t="n"/>
      <c r="K23" s="198" t="n"/>
      <c r="L23" s="198" t="n"/>
      <c r="M23" s="198" t="n"/>
      <c r="N23" s="198" t="n"/>
      <c r="O23" s="198" t="n"/>
      <c r="P23" s="198" t="n"/>
      <c r="Q23" s="198" t="n"/>
      <c r="R23" s="169" t="n"/>
      <c r="S23" s="64" t="n"/>
      <c r="T23" s="64" t="n"/>
      <c r="U23" s="64" t="n"/>
      <c r="V23" s="64" t="n"/>
      <c r="W23" s="64" t="n"/>
      <c r="X23" s="64" t="n"/>
      <c r="Y23" s="64" t="n"/>
      <c r="Z23" s="64" t="n"/>
      <c r="AA23" s="64" t="n"/>
      <c r="AB23" s="150" t="n"/>
      <c r="AC23" s="150" t="n"/>
      <c r="AD23" s="150" t="n"/>
      <c r="AE23" s="150" t="n"/>
      <c r="AF23" s="150" t="n"/>
      <c r="AG23" s="150" t="n"/>
      <c r="AJ23" s="151" t="inlineStr">
        <is>
          <t>Flex '26 Sprint 5: 3/5 - 3/19</t>
        </is>
      </c>
      <c r="AK23" s="143" t="n">
        <v>0</v>
      </c>
      <c r="AL23" s="143" t="n">
        <v>0.08333333333333333</v>
      </c>
      <c r="AN23" s="151" t="inlineStr">
        <is>
          <t>Flex '26 Sprint 5: 3/5 - 3/19</t>
        </is>
      </c>
      <c r="AO23" s="143" t="n">
        <v>0</v>
      </c>
      <c r="AP23" s="143" t="n">
        <v>0.6666666666666666</v>
      </c>
    </row>
    <row r="24" ht="18" customHeight="1">
      <c r="A24" s="198" t="n"/>
      <c r="B24" s="198" t="n"/>
      <c r="C24" s="198" t="n"/>
      <c r="D24" s="198" t="n"/>
      <c r="E24" s="198" t="n"/>
      <c r="F24" s="198" t="n"/>
      <c r="G24" s="198" t="n"/>
      <c r="H24" s="198" t="n"/>
      <c r="I24" s="198" t="n"/>
      <c r="J24" s="198" t="n"/>
      <c r="K24" s="198" t="n"/>
      <c r="L24" s="198" t="n"/>
      <c r="M24" s="198" t="n"/>
      <c r="N24" s="198" t="n"/>
      <c r="O24" s="198" t="n"/>
      <c r="P24" s="198" t="n"/>
      <c r="Q24" s="198" t="n"/>
      <c r="R24" s="169" t="n"/>
      <c r="S24" s="64" t="n"/>
      <c r="T24" s="64" t="n"/>
      <c r="U24" s="64" t="n"/>
      <c r="V24" s="64" t="n"/>
      <c r="W24" s="64" t="n"/>
      <c r="X24" s="64" t="n"/>
      <c r="Y24" s="64" t="n"/>
      <c r="Z24" s="64" t="n"/>
      <c r="AA24" s="64" t="n"/>
      <c r="AB24" s="150" t="n"/>
      <c r="AC24" s="150" t="n"/>
      <c r="AD24" s="150" t="n"/>
      <c r="AE24" s="150" t="n"/>
      <c r="AF24" s="150" t="n"/>
      <c r="AG24" s="150" t="n"/>
      <c r="AJ24" s="151" t="inlineStr">
        <is>
          <t>Flex '26 Sprint 6: 3/19 - 4/2</t>
        </is>
      </c>
      <c r="AK24" s="143" t="n">
        <v>0.375</v>
      </c>
      <c r="AL24" s="143" t="n">
        <v>0.2380952380952381</v>
      </c>
      <c r="AN24" s="151" t="inlineStr">
        <is>
          <t>Flex '26 Sprint 6: 3/19 - 4/2</t>
        </is>
      </c>
      <c r="AO24" s="143" t="n">
        <v>0</v>
      </c>
      <c r="AP24" s="143" t="n">
        <v>1.238095238095238</v>
      </c>
    </row>
    <row r="25" ht="18" customHeight="1">
      <c r="A25" s="198" t="n"/>
      <c r="B25" s="198" t="n"/>
      <c r="C25" s="198" t="n"/>
      <c r="D25" s="198" t="n"/>
      <c r="E25" s="198" t="n"/>
      <c r="F25" s="198" t="n"/>
      <c r="G25" s="198" t="n"/>
      <c r="H25" s="198" t="n"/>
      <c r="I25" s="198" t="n"/>
      <c r="J25" s="198" t="n"/>
      <c r="K25" s="198" t="n"/>
      <c r="L25" s="198" t="n"/>
      <c r="M25" s="198" t="n"/>
      <c r="N25" s="198" t="n"/>
      <c r="O25" s="198" t="n"/>
      <c r="P25" s="198" t="n"/>
      <c r="Q25" s="198" t="n"/>
      <c r="R25" s="169" t="n"/>
      <c r="S25" s="64" t="n"/>
      <c r="T25" s="64" t="n"/>
      <c r="U25" s="64" t="n"/>
      <c r="V25" s="64" t="n"/>
      <c r="W25" s="64" t="n"/>
      <c r="X25" s="64" t="n"/>
      <c r="Y25" s="64" t="n"/>
      <c r="Z25" s="64" t="n"/>
      <c r="AA25" s="64" t="n"/>
      <c r="AB25" s="150" t="n"/>
      <c r="AC25" s="150" t="n"/>
      <c r="AD25" s="150" t="n"/>
      <c r="AE25" s="150" t="n"/>
      <c r="AF25" s="150" t="n"/>
      <c r="AG25" s="150" t="n"/>
      <c r="AJ25" s="151" t="inlineStr">
        <is>
          <t>Flex '26 Sprint 7: 4/2 - 4/16</t>
        </is>
      </c>
      <c r="AK25" s="143" t="n">
        <v>0</v>
      </c>
      <c r="AL25" s="143" t="n">
        <v>0.09090909090909091</v>
      </c>
      <c r="AN25" s="151" t="inlineStr">
        <is>
          <t>Flex '26 Sprint 7: 4/2 - 4/16</t>
        </is>
      </c>
      <c r="AO25" s="143" t="n">
        <v>0.6666666666666666</v>
      </c>
      <c r="AP25" s="143" t="n">
        <v>0.1136363636363636</v>
      </c>
    </row>
    <row r="26" ht="18" customHeight="1">
      <c r="A26" s="198" t="n"/>
      <c r="B26" s="198" t="n"/>
      <c r="C26" s="198" t="n"/>
      <c r="D26" s="198" t="n"/>
      <c r="E26" s="198" t="n"/>
      <c r="F26" s="198" t="n"/>
      <c r="G26" s="198" t="n"/>
      <c r="H26" s="198" t="n"/>
      <c r="I26" s="198" t="n"/>
      <c r="J26" s="198" t="n"/>
      <c r="K26" s="198" t="n"/>
      <c r="L26" s="198" t="n"/>
      <c r="M26" s="198" t="n"/>
      <c r="N26" s="198" t="n"/>
      <c r="O26" s="198" t="n"/>
      <c r="P26" s="198" t="n"/>
      <c r="Q26" s="198" t="n"/>
      <c r="R26" s="169" t="n"/>
      <c r="S26" s="64" t="n"/>
      <c r="T26" s="64" t="n"/>
      <c r="U26" s="64" t="n"/>
      <c r="V26" s="64" t="n"/>
      <c r="W26" s="64" t="n"/>
      <c r="X26" s="64" t="n"/>
      <c r="Y26" s="64" t="n"/>
      <c r="Z26" s="64" t="n"/>
      <c r="AA26" s="64" t="n"/>
      <c r="AB26" s="150" t="n"/>
      <c r="AC26" s="150" t="n"/>
      <c r="AD26" s="150" t="n"/>
      <c r="AE26" s="150" t="n"/>
      <c r="AF26" s="150" t="n"/>
      <c r="AG26" s="150" t="n"/>
      <c r="AH26" s="196" t="n"/>
      <c r="AJ26" s="151" t="inlineStr">
        <is>
          <t>Flex '26 Sprint 8: 4/16 - 4/30</t>
        </is>
      </c>
      <c r="AK26" s="143" t="n">
        <v>0</v>
      </c>
      <c r="AL26" s="143" t="n">
        <v>0.1818181818181818</v>
      </c>
      <c r="AN26" s="151" t="inlineStr">
        <is>
          <t>Flex '26 Sprint 8: 4/16 - 4/30</t>
        </is>
      </c>
      <c r="AO26" s="143" t="n">
        <v>0</v>
      </c>
      <c r="AP26" s="143" t="n">
        <v>0.3333333333333333</v>
      </c>
    </row>
    <row r="27" ht="18" customHeight="1">
      <c r="A27" s="198" t="n"/>
      <c r="B27" s="198" t="n"/>
      <c r="C27" s="198" t="n"/>
      <c r="D27" s="198" t="n"/>
      <c r="E27" s="198" t="n"/>
      <c r="F27" s="198" t="n"/>
      <c r="G27" s="198" t="n"/>
      <c r="H27" s="198" t="n"/>
      <c r="I27" s="198" t="n"/>
      <c r="J27" s="198" t="n"/>
      <c r="K27" s="198" t="n"/>
      <c r="L27" s="198" t="n"/>
      <c r="M27" s="198" t="n"/>
      <c r="N27" s="198" t="n"/>
      <c r="O27" s="198" t="n"/>
      <c r="P27" s="198" t="n"/>
      <c r="Q27" s="198" t="n"/>
      <c r="R27" s="169" t="n"/>
      <c r="S27" s="64" t="n"/>
      <c r="T27" s="64" t="n"/>
      <c r="U27" s="64" t="n"/>
      <c r="V27" s="64" t="n"/>
      <c r="W27" s="64" t="n"/>
      <c r="X27" s="64" t="n"/>
      <c r="Y27" s="64" t="n"/>
      <c r="Z27" s="64" t="n"/>
      <c r="AA27" s="64" t="n"/>
      <c r="AB27" s="150" t="n"/>
      <c r="AC27" s="150" t="n"/>
      <c r="AD27" s="150" t="n"/>
      <c r="AE27" s="150" t="n"/>
      <c r="AF27" s="150" t="n"/>
      <c r="AG27" s="150" t="n"/>
      <c r="AH27" s="196" t="n"/>
      <c r="AJ27" s="151" t="inlineStr">
        <is>
          <t>Flex '26 Sprint 9: 4/30 - 5/14</t>
        </is>
      </c>
      <c r="AK27" s="143" t="n">
        <v>0</v>
      </c>
      <c r="AL27" s="143" t="n">
        <v>0.05882352941176471</v>
      </c>
      <c r="AN27" s="151" t="inlineStr">
        <is>
          <t>Flex '26 Sprint 9: 4/30 - 5/14</t>
        </is>
      </c>
      <c r="AO27" s="143" t="n">
        <v>0</v>
      </c>
      <c r="AP27" s="143" t="n">
        <v>0.1470588235294118</v>
      </c>
    </row>
    <row r="28" ht="18" customHeight="1">
      <c r="A28" s="198" t="n"/>
      <c r="B28" s="198" t="n"/>
      <c r="C28" s="198" t="n"/>
      <c r="D28" s="198" t="n"/>
      <c r="E28" s="198" t="n"/>
      <c r="F28" s="198" t="n"/>
      <c r="G28" s="198" t="n"/>
      <c r="H28" s="198" t="n"/>
      <c r="I28" s="198" t="n"/>
      <c r="J28" s="198" t="n"/>
      <c r="K28" s="198" t="n"/>
      <c r="L28" s="198" t="n"/>
      <c r="M28" s="198" t="n"/>
      <c r="N28" s="198" t="n"/>
      <c r="O28" s="198" t="n"/>
      <c r="P28" s="198" t="n"/>
      <c r="Q28" s="198" t="n"/>
      <c r="R28" s="169" t="n"/>
      <c r="S28" s="64" t="n"/>
      <c r="T28" s="64" t="n"/>
      <c r="U28" s="64" t="n"/>
      <c r="V28" s="64" t="n"/>
      <c r="W28" s="64" t="n"/>
      <c r="X28" s="64" t="n"/>
      <c r="Y28" s="64" t="n"/>
      <c r="Z28" s="64" t="n"/>
      <c r="AA28" s="64" t="n"/>
      <c r="AB28" s="150" t="n"/>
      <c r="AC28" s="150" t="n"/>
      <c r="AD28" s="150" t="n"/>
      <c r="AE28" s="150" t="n"/>
      <c r="AF28" s="150" t="n"/>
      <c r="AG28" s="150" t="n"/>
      <c r="AH28" s="196" t="n"/>
      <c r="AJ28" s="151" t="inlineStr">
        <is>
          <t>Flex '26 Sprint10: 5/14 - 5/28</t>
        </is>
      </c>
      <c r="AK28" s="143" t="n">
        <v>0</v>
      </c>
      <c r="AL28" s="143" t="n">
        <v>0.1276595744680851</v>
      </c>
      <c r="AN28" s="151" t="inlineStr">
        <is>
          <t>Flex '26 Sprint10: 5/14 - 5/28</t>
        </is>
      </c>
      <c r="AO28" s="143" t="n">
        <v>0.6666666666666666</v>
      </c>
      <c r="AP28" s="143" t="n">
        <v>0.1276595744680851</v>
      </c>
    </row>
    <row r="29" ht="18" customHeight="1">
      <c r="A29" s="198" t="n"/>
      <c r="B29" s="198" t="n"/>
      <c r="C29" s="198" t="n"/>
      <c r="D29" s="198" t="n"/>
      <c r="E29" s="198" t="n"/>
      <c r="F29" s="198" t="n"/>
      <c r="G29" s="198" t="n"/>
      <c r="H29" s="198" t="n"/>
      <c r="I29" s="198" t="n"/>
      <c r="J29" s="198" t="n"/>
      <c r="K29" s="198" t="n"/>
      <c r="L29" s="198" t="n"/>
      <c r="M29" s="198" t="n"/>
      <c r="N29" s="198" t="n"/>
      <c r="O29" s="198" t="n"/>
      <c r="P29" s="198" t="n"/>
      <c r="Q29" s="198" t="n"/>
      <c r="R29" s="169" t="n"/>
      <c r="S29" s="64" t="n"/>
      <c r="T29" s="64" t="n"/>
      <c r="U29" s="64" t="n"/>
      <c r="V29" s="64" t="n"/>
      <c r="W29" s="64" t="n"/>
      <c r="X29" s="64" t="n"/>
      <c r="Y29" s="64" t="n"/>
      <c r="Z29" s="64" t="n"/>
      <c r="AA29" s="64" t="n"/>
      <c r="AB29" s="150" t="n"/>
      <c r="AC29" s="150" t="n"/>
      <c r="AD29" s="150" t="n"/>
      <c r="AE29" s="150" t="n"/>
      <c r="AF29" s="150" t="n"/>
      <c r="AG29" s="150" t="n"/>
      <c r="AH29" s="196" t="n"/>
      <c r="AJ29" s="151" t="inlineStr">
        <is>
          <t>Grand Total</t>
        </is>
      </c>
      <c r="AK29" s="143" t="n">
        <v>0.375</v>
      </c>
      <c r="AL29" s="143" t="n">
        <v>0.7806389480356939</v>
      </c>
      <c r="AN29" s="151" t="inlineStr">
        <is>
          <t>Grand Total</t>
        </is>
      </c>
      <c r="AO29" s="143" t="n">
        <v>1.333333333333333</v>
      </c>
      <c r="AP29" s="143" t="n">
        <v>2.626449999729099</v>
      </c>
    </row>
    <row r="30" ht="18" customHeight="1">
      <c r="A30" s="198" t="n"/>
      <c r="B30" s="198" t="n"/>
      <c r="C30" s="198" t="n"/>
      <c r="D30" s="198" t="n"/>
      <c r="E30" s="198" t="n"/>
      <c r="F30" s="198" t="n"/>
      <c r="G30" s="198" t="n"/>
      <c r="H30" s="198" t="n"/>
      <c r="I30" s="198" t="n"/>
      <c r="J30" s="198" t="n"/>
      <c r="K30" s="198" t="n"/>
      <c r="L30" s="198" t="n"/>
      <c r="M30" s="198" t="n"/>
      <c r="N30" s="198" t="n"/>
      <c r="O30" s="198" t="n"/>
      <c r="P30" s="198" t="n"/>
      <c r="Q30" s="198" t="n"/>
      <c r="R30" s="169" t="n"/>
      <c r="S30" s="64" t="n"/>
      <c r="T30" s="64" t="n"/>
      <c r="U30" s="64" t="n"/>
      <c r="V30" s="64" t="n"/>
      <c r="W30" s="64" t="n"/>
      <c r="X30" s="64" t="n"/>
      <c r="Y30" s="64" t="n"/>
      <c r="Z30" s="64" t="n"/>
      <c r="AA30" s="64" t="n"/>
      <c r="AB30" s="150" t="n"/>
      <c r="AC30" s="150" t="n"/>
      <c r="AD30" s="150" t="n"/>
      <c r="AE30" s="150" t="n"/>
      <c r="AF30" s="150" t="n"/>
      <c r="AG30" s="64" t="n"/>
    </row>
    <row r="31" ht="18" customHeight="1" thickBot="1">
      <c r="A31" s="198" t="n"/>
      <c r="B31" s="198" t="n"/>
      <c r="C31" s="198" t="n"/>
      <c r="D31" s="198" t="n"/>
      <c r="E31" s="198" t="n"/>
      <c r="F31" s="198" t="n"/>
      <c r="G31" s="198" t="n"/>
      <c r="H31" s="198" t="n"/>
      <c r="I31" s="198" t="n"/>
      <c r="J31" s="198" t="n"/>
      <c r="K31" s="198" t="n"/>
      <c r="L31" s="198" t="n"/>
      <c r="M31" s="198" t="n"/>
      <c r="N31" s="198" t="n"/>
      <c r="O31" s="198" t="n"/>
      <c r="P31" s="198" t="n"/>
      <c r="Q31" s="198" t="n"/>
      <c r="R31" s="169" t="n"/>
      <c r="S31" s="64" t="n"/>
      <c r="T31" s="64" t="n"/>
      <c r="U31" s="64" t="n"/>
      <c r="V31" s="64" t="n"/>
      <c r="W31" s="64" t="n"/>
      <c r="X31" s="64" t="n"/>
      <c r="Y31" s="64" t="n"/>
      <c r="Z31" s="64" t="n"/>
      <c r="AA31" s="64" t="n"/>
      <c r="AB31" s="150" t="n"/>
      <c r="AC31" s="150" t="n"/>
      <c r="AD31" s="150" t="n"/>
      <c r="AE31" s="150" t="n"/>
      <c r="AF31" s="150" t="n"/>
      <c r="AG31" s="64" t="n"/>
      <c r="AH31" s="196" t="n"/>
    </row>
    <row r="32" ht="18" customHeight="1">
      <c r="A32" s="198" t="n"/>
      <c r="B32" s="198" t="n"/>
      <c r="C32" s="198" t="n"/>
      <c r="D32" s="198" t="n"/>
      <c r="E32" s="198" t="n"/>
      <c r="F32" s="198" t="n"/>
      <c r="G32" s="198" t="n"/>
      <c r="H32" s="198" t="n"/>
      <c r="I32" s="198" t="n"/>
      <c r="J32" s="198" t="n"/>
      <c r="K32" s="198" t="n"/>
      <c r="L32" s="198" t="n"/>
      <c r="M32" s="198" t="n"/>
      <c r="N32" s="198" t="n"/>
      <c r="O32" s="198" t="n"/>
      <c r="P32" s="198" t="n"/>
      <c r="Q32" s="198" t="n"/>
      <c r="R32" s="169" t="n"/>
      <c r="S32" s="64" t="n"/>
      <c r="T32" s="64" t="n"/>
      <c r="U32" s="64" t="n"/>
      <c r="V32" s="64" t="n"/>
      <c r="W32" s="64" t="n"/>
      <c r="X32" s="64" t="n"/>
      <c r="Y32" s="64" t="n"/>
      <c r="Z32" s="64" t="n"/>
      <c r="AA32" s="64" t="n"/>
      <c r="AB32" s="150" t="n"/>
      <c r="AC32" s="150" t="n"/>
      <c r="AD32" s="150" t="n"/>
      <c r="AE32" s="150" t="n"/>
      <c r="AF32" s="150" t="n"/>
      <c r="AG32" s="64" t="n"/>
      <c r="AJ32" s="156" t="inlineStr">
        <is>
          <t>Sprint</t>
        </is>
      </c>
      <c r="AK32" s="83" t="inlineStr">
        <is>
          <t>V2</t>
        </is>
      </c>
      <c r="AL32" s="83" t="inlineStr">
        <is>
          <t>LT</t>
        </is>
      </c>
      <c r="AN32" s="156" t="inlineStr">
        <is>
          <t>Sprint</t>
        </is>
      </c>
      <c r="AO32" s="83" t="inlineStr">
        <is>
          <t>V2</t>
        </is>
      </c>
      <c r="AP32" s="83" t="inlineStr">
        <is>
          <t>LT</t>
        </is>
      </c>
    </row>
    <row r="33" ht="18" customHeight="1">
      <c r="A33" s="198" t="n"/>
      <c r="B33" s="198" t="n"/>
      <c r="C33" s="198" t="n"/>
      <c r="D33" s="198" t="n"/>
      <c r="E33" s="198" t="n"/>
      <c r="F33" s="198" t="n"/>
      <c r="G33" s="198" t="n"/>
      <c r="H33" s="198" t="n"/>
      <c r="I33" s="198" t="n"/>
      <c r="J33" s="198" t="n"/>
      <c r="K33" s="198" t="n"/>
      <c r="L33" s="198" t="n"/>
      <c r="M33" s="198" t="n"/>
      <c r="N33" s="198" t="n"/>
      <c r="O33" s="198" t="n"/>
      <c r="P33" s="198" t="n"/>
      <c r="Q33" s="198" t="n"/>
      <c r="R33" s="169" t="n"/>
      <c r="S33" s="64" t="n"/>
      <c r="T33" s="64" t="n"/>
      <c r="U33" s="64" t="n"/>
      <c r="V33" s="64" t="n"/>
      <c r="W33" s="64" t="n"/>
      <c r="X33" s="64" t="n"/>
      <c r="Y33" s="64" t="n"/>
      <c r="Z33" s="64" t="n"/>
      <c r="AA33" s="64" t="n"/>
      <c r="AB33" s="150" t="n"/>
      <c r="AC33" s="150" t="n"/>
      <c r="AD33" s="150" t="n"/>
      <c r="AE33" s="150" t="n"/>
      <c r="AF33" s="150" t="n"/>
      <c r="AG33" s="64" t="n"/>
      <c r="AJ33" s="163">
        <f>AJ23</f>
        <v/>
      </c>
      <c r="AK33" s="144">
        <f>AK23</f>
        <v/>
      </c>
      <c r="AL33" s="145">
        <f>AL23</f>
        <v/>
      </c>
      <c r="AN33" s="163">
        <f>AN23</f>
        <v/>
      </c>
      <c r="AO33" s="144">
        <f>AO23</f>
        <v/>
      </c>
      <c r="AP33" s="145">
        <f>AP23</f>
        <v/>
      </c>
    </row>
    <row r="34" ht="18" customHeight="1">
      <c r="A34" s="198" t="n"/>
      <c r="B34" s="198" t="n"/>
      <c r="C34" s="198" t="n"/>
      <c r="D34" s="198" t="n"/>
      <c r="E34" s="198" t="n"/>
      <c r="F34" s="198" t="n"/>
      <c r="G34" s="198" t="n"/>
      <c r="H34" s="198" t="n"/>
      <c r="I34" s="198" t="n"/>
      <c r="J34" s="198" t="n"/>
      <c r="K34" s="198" t="n"/>
      <c r="L34" s="198" t="n"/>
      <c r="M34" s="198" t="n"/>
      <c r="N34" s="198" t="n"/>
      <c r="O34" s="198" t="n"/>
      <c r="P34" s="198" t="n"/>
      <c r="Q34" s="198" t="n"/>
      <c r="R34" s="169" t="n"/>
      <c r="S34" s="64" t="n"/>
      <c r="T34" s="64" t="n"/>
      <c r="U34" s="64" t="n"/>
      <c r="V34" s="64" t="n"/>
      <c r="W34" s="64" t="n"/>
      <c r="X34" s="64" t="n"/>
      <c r="Y34" s="64" t="n"/>
      <c r="Z34" s="64" t="n"/>
      <c r="AA34" s="64" t="n"/>
      <c r="AB34" s="150" t="n"/>
      <c r="AC34" s="150" t="n"/>
      <c r="AD34" s="150" t="n"/>
      <c r="AE34" s="150" t="n"/>
      <c r="AF34" s="150" t="n"/>
      <c r="AG34" s="64" t="n"/>
      <c r="AJ34" s="163">
        <f>AJ24</f>
        <v/>
      </c>
      <c r="AK34" s="144">
        <f>AK24</f>
        <v/>
      </c>
      <c r="AL34" s="145">
        <f>AL24</f>
        <v/>
      </c>
      <c r="AN34" s="163">
        <f>AN24</f>
        <v/>
      </c>
      <c r="AO34" s="144">
        <f>AO24</f>
        <v/>
      </c>
      <c r="AP34" s="145">
        <f>AP24</f>
        <v/>
      </c>
    </row>
    <row r="35" ht="18" customHeight="1">
      <c r="A35" s="198" t="n"/>
      <c r="B35" s="198" t="n"/>
      <c r="C35" s="198" t="n"/>
      <c r="D35" s="198" t="n"/>
      <c r="E35" s="198" t="n"/>
      <c r="F35" s="198" t="n"/>
      <c r="G35" s="198" t="n"/>
      <c r="H35" s="198" t="n"/>
      <c r="I35" s="198" t="n"/>
      <c r="J35" s="198" t="n"/>
      <c r="K35" s="198" t="n"/>
      <c r="L35" s="198" t="n"/>
      <c r="M35" s="198" t="n"/>
      <c r="N35" s="198" t="n"/>
      <c r="O35" s="198" t="n"/>
      <c r="P35" s="198" t="n"/>
      <c r="Q35" s="198" t="n"/>
      <c r="R35" s="169" t="n"/>
      <c r="S35" s="64" t="n"/>
      <c r="T35" s="64" t="n"/>
      <c r="U35" s="64" t="n"/>
      <c r="V35" s="64" t="n"/>
      <c r="W35" s="64" t="n"/>
      <c r="X35" s="64" t="n"/>
      <c r="Y35" s="64" t="n"/>
      <c r="Z35" s="64" t="n"/>
      <c r="AA35" s="64" t="n"/>
      <c r="AB35" s="150" t="n"/>
      <c r="AC35" s="150" t="n"/>
      <c r="AD35" s="150" t="n"/>
      <c r="AE35" s="150" t="n"/>
      <c r="AF35" s="150" t="n"/>
      <c r="AG35" s="64" t="n"/>
      <c r="AJ35" s="163">
        <f>AJ25</f>
        <v/>
      </c>
      <c r="AK35" s="144">
        <f>AK25</f>
        <v/>
      </c>
      <c r="AL35" s="145">
        <f>AL25</f>
        <v/>
      </c>
      <c r="AN35" s="163">
        <f>AN25</f>
        <v/>
      </c>
      <c r="AO35" s="144">
        <f>AO25</f>
        <v/>
      </c>
      <c r="AP35" s="145">
        <f>AP25</f>
        <v/>
      </c>
    </row>
    <row r="36" ht="18" customHeight="1">
      <c r="A36" s="198" t="n"/>
      <c r="B36" s="198" t="n"/>
      <c r="C36" s="198" t="n"/>
      <c r="D36" s="198" t="n"/>
      <c r="E36" s="198" t="n"/>
      <c r="F36" s="198" t="n"/>
      <c r="G36" s="198" t="n"/>
      <c r="H36" s="198" t="n"/>
      <c r="I36" s="198" t="n"/>
      <c r="J36" s="198" t="n"/>
      <c r="K36" s="198" t="n"/>
      <c r="L36" s="198" t="n"/>
      <c r="M36" s="198" t="n"/>
      <c r="N36" s="198" t="n"/>
      <c r="O36" s="198" t="n"/>
      <c r="P36" s="198" t="n"/>
      <c r="Q36" s="198" t="n"/>
      <c r="R36" s="169" t="n"/>
      <c r="S36" s="64" t="n"/>
      <c r="T36" s="64" t="n"/>
      <c r="U36" s="64" t="n"/>
      <c r="V36" s="64" t="n"/>
      <c r="W36" s="64" t="n"/>
      <c r="X36" s="64" t="n"/>
      <c r="Y36" s="64" t="n"/>
      <c r="Z36" s="64" t="n"/>
      <c r="AA36" s="64" t="n"/>
      <c r="AB36" s="150" t="n"/>
      <c r="AC36" s="150" t="n"/>
      <c r="AD36" s="150" t="n"/>
      <c r="AE36" s="150" t="n"/>
      <c r="AF36" s="150" t="n"/>
      <c r="AG36" s="64" t="n"/>
      <c r="AJ36" s="163">
        <f>AJ26</f>
        <v/>
      </c>
      <c r="AK36" s="144">
        <f>AK26</f>
        <v/>
      </c>
      <c r="AL36" s="145">
        <f>AL26</f>
        <v/>
      </c>
      <c r="AN36" s="163">
        <f>AN26</f>
        <v/>
      </c>
      <c r="AO36" s="144">
        <f>AO26</f>
        <v/>
      </c>
      <c r="AP36" s="145">
        <f>AP26</f>
        <v/>
      </c>
    </row>
    <row r="37" ht="18" customHeight="1">
      <c r="A37" s="198" t="n"/>
      <c r="B37" s="198" t="n"/>
      <c r="C37" s="198" t="n"/>
      <c r="D37" s="198" t="n"/>
      <c r="E37" s="198" t="n"/>
      <c r="F37" s="198" t="n"/>
      <c r="G37" s="198" t="n"/>
      <c r="H37" s="198" t="n"/>
      <c r="I37" s="198" t="n"/>
      <c r="J37" s="198" t="n"/>
      <c r="K37" s="198" t="n"/>
      <c r="L37" s="198" t="n"/>
      <c r="M37" s="198" t="n"/>
      <c r="N37" s="198" t="n"/>
      <c r="O37" s="198" t="n"/>
      <c r="P37" s="198" t="n"/>
      <c r="Q37" s="198" t="n"/>
      <c r="R37" s="169" t="n"/>
      <c r="S37" s="64" t="n"/>
      <c r="T37" s="64" t="n"/>
      <c r="U37" s="64" t="n"/>
      <c r="V37" s="64" t="n"/>
      <c r="W37" s="64" t="n"/>
      <c r="X37" s="64" t="n"/>
      <c r="Y37" s="64" t="n"/>
      <c r="Z37" s="64" t="n"/>
      <c r="AA37" s="64" t="n"/>
      <c r="AB37" s="150" t="n"/>
      <c r="AC37" s="150" t="n"/>
      <c r="AD37" s="150" t="n"/>
      <c r="AE37" s="150" t="n"/>
      <c r="AF37" s="150" t="n"/>
      <c r="AG37" s="64" t="n"/>
      <c r="AJ37" s="163">
        <f>AJ27</f>
        <v/>
      </c>
      <c r="AK37" s="144">
        <f>AK27</f>
        <v/>
      </c>
      <c r="AL37" s="145">
        <f>AL27</f>
        <v/>
      </c>
      <c r="AN37" s="163">
        <f>AN27</f>
        <v/>
      </c>
      <c r="AO37" s="144">
        <f>AO27</f>
        <v/>
      </c>
      <c r="AP37" s="145">
        <f>AP27</f>
        <v/>
      </c>
    </row>
    <row r="38" ht="18" customHeight="1">
      <c r="A38" s="198" t="n"/>
      <c r="B38" s="198" t="n"/>
      <c r="C38" s="198" t="n"/>
      <c r="D38" s="198" t="n"/>
      <c r="E38" s="198" t="n"/>
      <c r="F38" s="198" t="n"/>
      <c r="G38" s="198" t="n"/>
      <c r="H38" s="198" t="n"/>
      <c r="I38" s="198" t="n"/>
      <c r="J38" s="198" t="n"/>
      <c r="K38" s="198" t="n"/>
      <c r="L38" s="198" t="n"/>
      <c r="M38" s="198" t="n"/>
      <c r="N38" s="198" t="n"/>
      <c r="O38" s="198" t="n"/>
      <c r="P38" s="198" t="n"/>
      <c r="Q38" s="198" t="n"/>
      <c r="R38" s="169" t="n"/>
      <c r="S38" s="64" t="n"/>
      <c r="T38" s="64" t="n"/>
      <c r="U38" s="64" t="n"/>
      <c r="V38" s="64" t="n"/>
      <c r="W38" s="64" t="n"/>
      <c r="X38" s="64" t="n"/>
      <c r="Y38" s="64" t="n"/>
      <c r="Z38" s="64" t="n"/>
      <c r="AA38" s="64" t="n"/>
      <c r="AB38" s="150" t="n"/>
      <c r="AC38" s="150" t="n"/>
      <c r="AD38" s="150" t="n"/>
      <c r="AE38" s="150" t="n"/>
      <c r="AF38" s="150" t="n"/>
      <c r="AG38" s="64" t="n"/>
      <c r="AJ38" s="163">
        <f>AJ28</f>
        <v/>
      </c>
      <c r="AK38" s="144">
        <f>AK28</f>
        <v/>
      </c>
      <c r="AL38" s="145">
        <f>AL28</f>
        <v/>
      </c>
      <c r="AN38" s="163">
        <f>AN28</f>
        <v/>
      </c>
      <c r="AO38" s="144">
        <f>AO28</f>
        <v/>
      </c>
      <c r="AP38" s="145">
        <f>AP28</f>
        <v/>
      </c>
    </row>
    <row r="39" ht="18" customHeight="1">
      <c r="A39" s="198" t="n"/>
      <c r="B39" s="198" t="n"/>
      <c r="C39" s="198" t="n"/>
      <c r="D39" s="198" t="n"/>
      <c r="E39" s="198" t="n"/>
      <c r="F39" s="198" t="n"/>
      <c r="G39" s="198" t="n"/>
      <c r="H39" s="198" t="n"/>
      <c r="I39" s="198" t="n"/>
      <c r="J39" s="198" t="n"/>
      <c r="K39" s="198" t="n"/>
      <c r="L39" s="198" t="n"/>
      <c r="M39" s="198" t="n"/>
      <c r="N39" s="198" t="n"/>
      <c r="O39" s="198" t="n"/>
      <c r="P39" s="198" t="n"/>
      <c r="Q39" s="198" t="n"/>
      <c r="R39" s="42" t="n"/>
      <c r="S39" s="64" t="n"/>
      <c r="T39" s="64" t="n"/>
      <c r="U39" s="64" t="n"/>
      <c r="V39" s="64" t="n"/>
      <c r="W39" s="64" t="n"/>
      <c r="X39" s="64" t="n"/>
      <c r="Y39" s="64" t="n"/>
      <c r="Z39" s="64" t="n"/>
      <c r="AA39" s="64" t="n"/>
      <c r="AB39" s="150" t="n"/>
      <c r="AC39" s="150" t="n"/>
      <c r="AD39" s="150" t="n"/>
      <c r="AE39" s="150" t="n"/>
      <c r="AF39" s="150" t="n"/>
      <c r="AG39" s="64" t="n"/>
      <c r="AJ39" s="163">
        <f>AJ29</f>
        <v/>
      </c>
      <c r="AK39" s="144">
        <f>AK29</f>
        <v/>
      </c>
      <c r="AL39" s="145">
        <f>AL29</f>
        <v/>
      </c>
      <c r="AN39" s="163">
        <f>AN29</f>
        <v/>
      </c>
      <c r="AO39" s="144">
        <f>AO29</f>
        <v/>
      </c>
      <c r="AP39" s="145">
        <f>AP29</f>
        <v/>
      </c>
    </row>
    <row r="40" ht="18" customHeight="1">
      <c r="A40" s="198" t="n"/>
      <c r="B40" s="198" t="n"/>
      <c r="C40" s="198" t="n"/>
      <c r="D40" s="198" t="n"/>
      <c r="E40" s="198" t="n"/>
      <c r="F40" s="198" t="n"/>
      <c r="G40" s="198" t="n"/>
      <c r="H40" s="198" t="n"/>
      <c r="I40" s="198" t="n"/>
      <c r="J40" s="198" t="n"/>
      <c r="K40" s="198" t="n"/>
      <c r="L40" s="198" t="n"/>
      <c r="M40" s="198" t="n"/>
      <c r="N40" s="198" t="n"/>
      <c r="O40" s="198" t="n"/>
      <c r="P40" s="198" t="n"/>
      <c r="Q40" s="198" t="n"/>
      <c r="R40" s="42" t="n"/>
      <c r="S40" s="64" t="n"/>
      <c r="T40" s="64" t="n"/>
      <c r="U40" s="64" t="n"/>
      <c r="V40" s="64" t="n"/>
      <c r="W40" s="64" t="n"/>
      <c r="X40" s="64" t="n"/>
      <c r="Y40" s="64" t="n"/>
      <c r="Z40" s="64" t="n"/>
      <c r="AA40" s="64" t="n"/>
      <c r="AB40" s="150" t="n"/>
      <c r="AC40" s="150" t="n"/>
      <c r="AD40" s="150" t="n"/>
      <c r="AE40" s="150" t="n"/>
      <c r="AF40" s="150" t="n"/>
      <c r="AG40" s="64" t="n"/>
    </row>
    <row r="41" ht="18" customHeight="1">
      <c r="A41" s="198" t="n"/>
      <c r="B41" s="198" t="n"/>
      <c r="C41" s="198" t="n"/>
      <c r="D41" s="198" t="n"/>
      <c r="E41" s="198" t="n"/>
      <c r="F41" s="198" t="n"/>
      <c r="G41" s="198" t="n"/>
      <c r="H41" s="198" t="n"/>
      <c r="I41" s="198" t="n"/>
      <c r="J41" s="198" t="n"/>
      <c r="K41" s="198" t="n"/>
      <c r="L41" s="198" t="n"/>
      <c r="M41" s="198" t="n"/>
      <c r="N41" s="198" t="n"/>
      <c r="O41" s="198" t="n"/>
      <c r="P41" s="198" t="n"/>
      <c r="Q41" s="198" t="n"/>
      <c r="R41" s="169" t="n"/>
      <c r="S41" s="64" t="n"/>
      <c r="T41" s="64" t="n"/>
      <c r="U41" s="64" t="n"/>
      <c r="V41" s="64" t="n"/>
      <c r="W41" s="64" t="n"/>
      <c r="X41" s="64" t="n"/>
      <c r="Y41" s="64" t="n"/>
      <c r="Z41" s="64" t="n"/>
      <c r="AA41" s="64" t="n"/>
      <c r="AB41" s="150" t="n"/>
      <c r="AC41" s="150" t="n"/>
      <c r="AD41" s="150" t="n"/>
      <c r="AE41" s="150" t="n"/>
      <c r="AF41" s="150" t="n"/>
      <c r="AG41" s="64" t="n"/>
    </row>
    <row r="42" ht="18" customHeight="1">
      <c r="A42" s="198" t="n"/>
      <c r="B42" s="198" t="n"/>
      <c r="C42" s="198" t="n"/>
      <c r="D42" s="198" t="n"/>
      <c r="E42" s="198" t="n"/>
      <c r="F42" s="198" t="n"/>
      <c r="G42" s="198" t="n"/>
      <c r="H42" s="198" t="n"/>
      <c r="I42" s="198" t="n"/>
      <c r="J42" s="198" t="n"/>
      <c r="K42" s="198" t="n"/>
      <c r="L42" s="198" t="n"/>
      <c r="M42" s="198" t="n"/>
      <c r="N42" s="198" t="n"/>
      <c r="O42" s="198" t="n"/>
      <c r="P42" s="198" t="n"/>
      <c r="Q42" s="198" t="n"/>
      <c r="R42" s="169" t="n"/>
      <c r="S42" s="64" t="n"/>
      <c r="T42" s="64" t="n"/>
      <c r="U42" s="64" t="n"/>
      <c r="V42" s="64" t="n"/>
      <c r="W42" s="64" t="n"/>
      <c r="X42" s="64" t="n"/>
      <c r="Y42" s="64" t="n"/>
      <c r="Z42" s="64" t="n"/>
      <c r="AA42" s="64" t="n"/>
      <c r="AB42" s="150" t="n"/>
      <c r="AC42" s="150" t="n"/>
      <c r="AD42" s="150" t="n"/>
      <c r="AE42" s="150" t="n"/>
      <c r="AF42" s="150" t="n"/>
      <c r="AG42" s="64" t="n"/>
      <c r="AJ42" s="149" t="inlineStr">
        <is>
          <t>Row Labels</t>
        </is>
      </c>
      <c r="AK42" s="143" t="inlineStr">
        <is>
          <t>Sum of Planned Vs Completed ratio</t>
        </is>
      </c>
    </row>
    <row r="43" ht="18" customHeight="1">
      <c r="A43" s="198" t="n"/>
      <c r="B43" s="198" t="n"/>
      <c r="C43" s="198" t="n"/>
      <c r="D43" s="198" t="n"/>
      <c r="E43" s="198" t="n"/>
      <c r="F43" s="198" t="n"/>
      <c r="G43" s="198" t="n"/>
      <c r="H43" s="198" t="n"/>
      <c r="I43" s="198" t="n"/>
      <c r="J43" s="198" t="n"/>
      <c r="K43" s="198" t="n"/>
      <c r="L43" s="198" t="n"/>
      <c r="M43" s="198" t="n"/>
      <c r="N43" s="198" t="n"/>
      <c r="O43" s="198" t="n"/>
      <c r="P43" s="198" t="n"/>
      <c r="Q43" s="198" t="n"/>
      <c r="R43" s="169" t="n"/>
      <c r="S43" s="64" t="n"/>
      <c r="T43" s="64" t="n"/>
      <c r="U43" s="64" t="n"/>
      <c r="V43" s="64" t="n"/>
      <c r="W43" s="64" t="n"/>
      <c r="X43" s="64" t="n"/>
      <c r="Y43" s="64" t="n"/>
      <c r="Z43" s="64" t="n"/>
      <c r="AA43" s="64" t="n"/>
      <c r="AB43" s="150" t="n"/>
      <c r="AC43" s="150" t="n"/>
      <c r="AD43" s="150" t="n"/>
      <c r="AE43" s="150" t="n"/>
      <c r="AF43" s="150" t="n"/>
      <c r="AG43" s="64" t="n"/>
      <c r="AJ43" s="151" t="inlineStr">
        <is>
          <t>Flex '26 Sprint 5: 3/5 - 3/19</t>
        </is>
      </c>
      <c r="AK43" s="143" t="n">
        <v>0.6981132075471698</v>
      </c>
    </row>
    <row r="44" ht="18" customHeight="1">
      <c r="A44" s="198" t="n"/>
      <c r="B44" s="198" t="n"/>
      <c r="C44" s="198" t="n"/>
      <c r="D44" s="198" t="n"/>
      <c r="E44" s="198" t="n"/>
      <c r="F44" s="198" t="n"/>
      <c r="G44" s="198" t="n"/>
      <c r="H44" s="198" t="n"/>
      <c r="I44" s="198" t="n"/>
      <c r="J44" s="198" t="n"/>
      <c r="K44" s="198" t="n"/>
      <c r="L44" s="198" t="n"/>
      <c r="M44" s="198" t="n"/>
      <c r="N44" s="198" t="n"/>
      <c r="O44" s="198" t="n"/>
      <c r="P44" s="198" t="n"/>
      <c r="Q44" s="198" t="n"/>
      <c r="R44" s="169" t="n"/>
      <c r="S44" s="64" t="n"/>
      <c r="T44" s="64" t="n"/>
      <c r="U44" s="64" t="n"/>
      <c r="V44" s="64" t="n"/>
      <c r="W44" s="64" t="n"/>
      <c r="X44" s="64" t="n"/>
      <c r="Y44" s="64" t="n"/>
      <c r="Z44" s="64" t="n"/>
      <c r="AA44" s="64" t="n"/>
      <c r="AB44" s="150" t="n"/>
      <c r="AC44" s="150" t="n"/>
      <c r="AD44" s="150" t="n"/>
      <c r="AE44" s="150" t="n"/>
      <c r="AF44" s="150" t="n"/>
      <c r="AG44" s="64" t="n"/>
      <c r="AJ44" s="151" t="inlineStr">
        <is>
          <t>Flex '26 Sprint 6: 3/19 - 4/2</t>
        </is>
      </c>
      <c r="AK44" s="143" t="n">
        <v>0.5272727272727272</v>
      </c>
    </row>
    <row r="45" ht="18" customHeight="1">
      <c r="A45" s="198" t="n"/>
      <c r="B45" s="198" t="n"/>
      <c r="C45" s="198" t="n"/>
      <c r="D45" s="198" t="n"/>
      <c r="E45" s="198" t="n"/>
      <c r="F45" s="198" t="n"/>
      <c r="G45" s="198" t="n"/>
      <c r="H45" s="198" t="n"/>
      <c r="I45" s="198" t="n"/>
      <c r="J45" s="198" t="n"/>
      <c r="K45" s="198" t="n"/>
      <c r="L45" s="198" t="n"/>
      <c r="M45" s="198" t="n"/>
      <c r="N45" s="198" t="n"/>
      <c r="O45" s="198" t="n"/>
      <c r="P45" s="198" t="n"/>
      <c r="Q45" s="198" t="n"/>
      <c r="R45" s="169" t="n"/>
      <c r="S45" s="64" t="n"/>
      <c r="T45" s="64" t="n"/>
      <c r="U45" s="64" t="n"/>
      <c r="V45" s="64" t="n"/>
      <c r="W45" s="64" t="n"/>
      <c r="X45" s="64" t="n"/>
      <c r="Y45" s="64" t="n"/>
      <c r="Z45" s="64" t="n"/>
      <c r="AA45" s="64" t="n"/>
      <c r="AB45" s="150" t="n"/>
      <c r="AC45" s="150" t="n"/>
      <c r="AD45" s="150" t="n"/>
      <c r="AE45" s="150" t="n"/>
      <c r="AF45" s="150" t="n"/>
      <c r="AG45" s="64" t="n"/>
      <c r="AJ45" s="151" t="inlineStr">
        <is>
          <t>Flex '26 Sprint 7: 4/2 - 4/16</t>
        </is>
      </c>
      <c r="AK45" s="143" t="n">
        <v>0.8703703703703703</v>
      </c>
    </row>
    <row r="46" ht="18" customHeight="1">
      <c r="A46" s="198" t="n"/>
      <c r="B46" s="198" t="n"/>
      <c r="C46" s="198" t="n"/>
      <c r="D46" s="198" t="n"/>
      <c r="E46" s="198" t="n"/>
      <c r="F46" s="198" t="n"/>
      <c r="G46" s="198" t="n"/>
      <c r="H46" s="198" t="n"/>
      <c r="I46" s="198" t="n"/>
      <c r="J46" s="198" t="n"/>
      <c r="K46" s="198" t="n"/>
      <c r="L46" s="198" t="n"/>
      <c r="M46" s="198" t="n"/>
      <c r="N46" s="198" t="n"/>
      <c r="O46" s="198" t="n"/>
      <c r="P46" s="198" t="n"/>
      <c r="Q46" s="198" t="n"/>
      <c r="R46" s="169" t="n"/>
      <c r="S46" s="64" t="n"/>
      <c r="T46" s="64" t="n"/>
      <c r="U46" s="64" t="n"/>
      <c r="V46" s="64" t="n"/>
      <c r="W46" s="64" t="n"/>
      <c r="X46" s="64" t="n"/>
      <c r="Y46" s="64" t="n"/>
      <c r="Z46" s="64" t="n"/>
      <c r="AA46" s="64" t="n"/>
      <c r="AB46" s="150" t="n"/>
      <c r="AC46" s="150" t="n"/>
      <c r="AD46" s="150" t="n"/>
      <c r="AE46" s="150" t="n"/>
      <c r="AF46" s="150" t="n"/>
      <c r="AG46" s="64" t="n"/>
      <c r="AJ46" s="151" t="inlineStr">
        <is>
          <t>Flex '26 Sprint 8: 4/16 - 4/30</t>
        </is>
      </c>
      <c r="AK46" s="143" t="n">
        <v>0.7592592592592593</v>
      </c>
    </row>
    <row r="47" ht="18" customHeight="1">
      <c r="A47" s="198" t="n"/>
      <c r="B47" s="198" t="n"/>
      <c r="C47" s="198" t="n"/>
      <c r="D47" s="198" t="n"/>
      <c r="E47" s="198" t="n"/>
      <c r="F47" s="198" t="n"/>
      <c r="G47" s="198" t="n"/>
      <c r="H47" s="198" t="n"/>
      <c r="I47" s="198" t="n"/>
      <c r="J47" s="198" t="n"/>
      <c r="K47" s="198" t="n"/>
      <c r="L47" s="198" t="n"/>
      <c r="M47" s="198" t="n"/>
      <c r="N47" s="198" t="n"/>
      <c r="O47" s="198" t="n"/>
      <c r="P47" s="198" t="n"/>
      <c r="Q47" s="198" t="n"/>
      <c r="R47" s="169" t="n"/>
      <c r="S47" s="64" t="n"/>
      <c r="T47" s="64" t="n"/>
      <c r="U47" s="64" t="n"/>
      <c r="V47" s="64" t="n"/>
      <c r="W47" s="64" t="n"/>
      <c r="X47" s="64" t="n"/>
      <c r="Y47" s="64" t="n"/>
      <c r="Z47" s="64" t="n"/>
      <c r="AA47" s="64" t="n"/>
      <c r="AB47" s="150" t="n"/>
      <c r="AC47" s="150" t="n"/>
      <c r="AD47" s="150" t="n"/>
      <c r="AE47" s="150" t="n"/>
      <c r="AF47" s="150" t="n"/>
      <c r="AG47" s="64" t="n"/>
      <c r="AJ47" s="151" t="inlineStr">
        <is>
          <t>Flex '26 Sprint 9: 4/30 - 5/14</t>
        </is>
      </c>
      <c r="AK47" s="143" t="n">
        <v>0.8809523809523809</v>
      </c>
    </row>
    <row r="48" ht="18" customHeight="1">
      <c r="A48" s="198" t="n"/>
      <c r="B48" s="198" t="n"/>
      <c r="C48" s="198" t="n"/>
      <c r="D48" s="198" t="n"/>
      <c r="E48" s="198" t="n"/>
      <c r="F48" s="198" t="n"/>
      <c r="G48" s="198" t="n"/>
      <c r="H48" s="198" t="n"/>
      <c r="I48" s="198" t="n"/>
      <c r="J48" s="198" t="n"/>
      <c r="K48" s="198" t="n"/>
      <c r="L48" s="198" t="n"/>
      <c r="M48" s="198" t="n"/>
      <c r="N48" s="198" t="n"/>
      <c r="O48" s="198" t="n"/>
      <c r="P48" s="198" t="n"/>
      <c r="Q48" s="198" t="n"/>
      <c r="R48" s="169" t="n"/>
      <c r="S48" s="64" t="n"/>
      <c r="T48" s="64" t="n"/>
      <c r="U48" s="64" t="n"/>
      <c r="V48" s="64" t="n"/>
      <c r="W48" s="64" t="n"/>
      <c r="X48" s="64" t="n"/>
      <c r="Y48" s="64" t="n"/>
      <c r="Z48" s="64" t="n"/>
      <c r="AA48" s="64" t="n"/>
      <c r="AB48" s="150" t="n"/>
      <c r="AC48" s="150" t="n"/>
      <c r="AD48" s="150" t="n"/>
      <c r="AE48" s="150" t="n"/>
      <c r="AF48" s="150" t="n"/>
      <c r="AG48" s="64" t="n"/>
      <c r="AJ48" s="151" t="inlineStr">
        <is>
          <t>Flex '26 Sprint10: 5/14 - 5/28</t>
        </is>
      </c>
      <c r="AK48" s="143" t="n">
        <v>0.8412698412698413</v>
      </c>
    </row>
    <row r="49" ht="18" customHeight="1">
      <c r="A49" s="198" t="n"/>
      <c r="B49" s="198" t="n"/>
      <c r="C49" s="198" t="n"/>
      <c r="D49" s="198" t="n"/>
      <c r="E49" s="198" t="n"/>
      <c r="F49" s="198" t="n"/>
      <c r="G49" s="198" t="n"/>
      <c r="H49" s="198" t="n"/>
      <c r="I49" s="198" t="n"/>
      <c r="J49" s="198" t="n"/>
      <c r="K49" s="198" t="n"/>
      <c r="L49" s="198" t="n"/>
      <c r="M49" s="198" t="n"/>
      <c r="N49" s="198" t="n"/>
      <c r="O49" s="198" t="n"/>
      <c r="P49" s="198" t="n"/>
      <c r="Q49" s="198" t="n"/>
      <c r="R49" s="169" t="n"/>
      <c r="S49" s="64" t="n"/>
      <c r="T49" s="64" t="n"/>
      <c r="U49" s="64" t="n"/>
      <c r="V49" s="64" t="n"/>
      <c r="W49" s="64" t="n"/>
      <c r="X49" s="64" t="n"/>
      <c r="Y49" s="64" t="n"/>
      <c r="Z49" s="64" t="n"/>
      <c r="AA49" s="64" t="n"/>
      <c r="AB49" s="150" t="n"/>
      <c r="AC49" s="150" t="n"/>
      <c r="AD49" s="150" t="n"/>
      <c r="AE49" s="150" t="n"/>
      <c r="AF49" s="150" t="n"/>
      <c r="AG49" s="64" t="n"/>
      <c r="AJ49" s="151" t="inlineStr">
        <is>
          <t>Grand Total</t>
        </is>
      </c>
      <c r="AK49" s="143" t="n">
        <v>4.577237786671749</v>
      </c>
    </row>
    <row r="50" ht="18" customHeight="1">
      <c r="A50" s="198" t="n"/>
      <c r="B50" s="198" t="n"/>
      <c r="C50" s="198" t="n"/>
      <c r="D50" s="198" t="n"/>
      <c r="E50" s="198" t="n"/>
      <c r="F50" s="198" t="n"/>
      <c r="G50" s="198" t="n"/>
      <c r="H50" s="198" t="n"/>
      <c r="I50" s="198" t="n"/>
      <c r="J50" s="198" t="n"/>
      <c r="K50" s="198" t="n"/>
      <c r="L50" s="198" t="n"/>
      <c r="M50" s="198" t="n"/>
      <c r="N50" s="198" t="n"/>
      <c r="O50" s="198" t="n"/>
      <c r="P50" s="198" t="n"/>
      <c r="Q50" s="198" t="n"/>
      <c r="R50" s="169" t="n"/>
      <c r="S50" s="64" t="n"/>
      <c r="T50" s="64" t="n"/>
      <c r="U50" s="64" t="n"/>
      <c r="V50" s="64" t="n"/>
      <c r="W50" s="64" t="n"/>
      <c r="X50" s="64" t="n"/>
      <c r="Y50" s="64" t="n"/>
      <c r="Z50" s="64" t="n"/>
      <c r="AA50" s="64" t="n"/>
      <c r="AB50" s="150" t="n"/>
      <c r="AC50" s="150" t="n"/>
      <c r="AD50" s="150" t="n"/>
      <c r="AE50" s="150" t="n"/>
      <c r="AF50" s="150" t="n"/>
      <c r="AG50" s="64" t="n"/>
    </row>
    <row r="51" ht="18" customHeight="1">
      <c r="A51" s="198" t="n"/>
      <c r="B51" s="198" t="n"/>
      <c r="C51" s="198" t="n"/>
      <c r="D51" s="198" t="n"/>
      <c r="E51" s="198" t="n"/>
      <c r="F51" s="198" t="n"/>
      <c r="G51" s="198" t="n"/>
      <c r="H51" s="198" t="n"/>
      <c r="I51" s="198" t="n"/>
      <c r="J51" s="198" t="n"/>
      <c r="K51" s="198" t="n"/>
      <c r="L51" s="198" t="n"/>
      <c r="M51" s="198" t="n"/>
      <c r="N51" s="198" t="n"/>
      <c r="O51" s="198" t="n"/>
      <c r="P51" s="198" t="n"/>
      <c r="Q51" s="198" t="n"/>
      <c r="R51" s="169" t="n"/>
      <c r="S51" s="64" t="n"/>
      <c r="T51" s="64" t="n"/>
      <c r="U51" s="64" t="n"/>
      <c r="V51" s="64" t="n"/>
      <c r="W51" s="64" t="n"/>
      <c r="X51" s="64" t="n"/>
      <c r="Y51" s="64" t="n"/>
      <c r="Z51" s="64" t="n"/>
      <c r="AA51" s="64" t="n"/>
      <c r="AB51" s="150" t="n"/>
      <c r="AC51" s="150" t="n"/>
      <c r="AD51" s="150" t="n"/>
      <c r="AE51" s="150" t="n"/>
      <c r="AF51" s="150" t="n"/>
      <c r="AG51" s="64" t="n"/>
    </row>
    <row r="52" ht="18" customHeight="1">
      <c r="A52" s="198" t="n"/>
      <c r="B52" s="198" t="n"/>
      <c r="C52" s="198" t="n"/>
      <c r="D52" s="198" t="n"/>
      <c r="E52" s="198" t="n"/>
      <c r="F52" s="198" t="n"/>
      <c r="G52" s="198" t="n"/>
      <c r="H52" s="198" t="n"/>
      <c r="I52" s="198" t="n"/>
      <c r="J52" s="198" t="n"/>
      <c r="K52" s="198" t="n"/>
      <c r="L52" s="198" t="n"/>
      <c r="M52" s="198" t="n"/>
      <c r="N52" s="198" t="n"/>
      <c r="O52" s="198" t="n"/>
      <c r="P52" s="198" t="n"/>
      <c r="Q52" s="198" t="n"/>
      <c r="R52" s="169" t="n"/>
      <c r="S52" s="64" t="n"/>
      <c r="T52" s="64" t="n"/>
      <c r="U52" s="64" t="n"/>
      <c r="V52" s="64" t="n"/>
      <c r="W52" s="64" t="n"/>
      <c r="X52" s="64" t="n"/>
      <c r="Y52" s="64" t="n"/>
      <c r="Z52" s="64" t="n"/>
      <c r="AA52" s="64" t="n"/>
      <c r="AB52" s="64" t="n"/>
      <c r="AC52" s="64" t="n"/>
      <c r="AD52" s="64" t="n"/>
      <c r="AE52" s="64" t="n"/>
      <c r="AF52" s="64" t="n"/>
      <c r="AG52" s="64" t="n"/>
      <c r="AJ52" s="167" t="inlineStr">
        <is>
          <t>Sprint</t>
        </is>
      </c>
      <c r="AK52" s="197" t="inlineStr">
        <is>
          <t>Sum of Planned Vs Completed Ratio</t>
        </is>
      </c>
      <c r="AN52" s="74" t="inlineStr">
        <is>
          <t>Sprint</t>
        </is>
      </c>
      <c r="AO52" s="83" t="inlineStr">
        <is>
          <t>V2</t>
        </is>
      </c>
      <c r="AP52" s="83" t="inlineStr">
        <is>
          <t>LT</t>
        </is>
      </c>
    </row>
    <row r="53" ht="18" customHeight="1">
      <c r="A53" s="198" t="n"/>
      <c r="B53" s="198" t="n"/>
      <c r="C53" s="198" t="n"/>
      <c r="D53" s="198" t="n"/>
      <c r="E53" s="198" t="n"/>
      <c r="F53" s="198" t="n"/>
      <c r="G53" s="198" t="n"/>
      <c r="H53" s="198" t="n"/>
      <c r="I53" s="198" t="n"/>
      <c r="J53" s="198" t="n"/>
      <c r="K53" s="198" t="n"/>
      <c r="L53" s="198" t="n"/>
      <c r="M53" s="198" t="n"/>
      <c r="N53" s="198" t="n"/>
      <c r="O53" s="198" t="n"/>
      <c r="P53" s="198" t="n"/>
      <c r="Q53" s="198" t="n"/>
      <c r="R53" s="169" t="n"/>
      <c r="S53" s="64" t="n"/>
      <c r="T53" s="64" t="n"/>
      <c r="U53" s="64" t="n"/>
      <c r="V53" s="64" t="n"/>
      <c r="W53" s="64" t="n"/>
      <c r="X53" s="64" t="n"/>
      <c r="Y53" s="64" t="n"/>
      <c r="Z53" s="64" t="n"/>
      <c r="AA53" s="64" t="n"/>
      <c r="AB53" s="64" t="n"/>
      <c r="AC53" s="64" t="n"/>
      <c r="AD53" s="64" t="n"/>
      <c r="AE53" s="64" t="n"/>
      <c r="AF53" s="64" t="n"/>
      <c r="AG53" s="64" t="n"/>
      <c r="AJ53" s="165">
        <f>AJ43</f>
        <v/>
      </c>
      <c r="AK53" s="148">
        <f>AK43</f>
        <v/>
      </c>
      <c r="AN53" s="151" t="inlineStr">
        <is>
          <t>Flex '26 Sprint 5: 3/5 - 3/19</t>
        </is>
      </c>
      <c r="AO53" s="64" t="n">
        <v>0</v>
      </c>
      <c r="AP53" s="64" t="n">
        <v>2</v>
      </c>
    </row>
    <row r="54" ht="18" customHeight="1">
      <c r="A54" s="198" t="n"/>
      <c r="B54" s="198" t="n"/>
      <c r="C54" s="198" t="n"/>
      <c r="D54" s="198" t="n"/>
      <c r="E54" s="198" t="n"/>
      <c r="F54" s="198" t="n"/>
      <c r="G54" s="198" t="n"/>
      <c r="H54" s="198" t="n"/>
      <c r="I54" s="198" t="n"/>
      <c r="J54" s="198" t="n"/>
      <c r="K54" s="198" t="n"/>
      <c r="L54" s="198" t="n"/>
      <c r="M54" s="198" t="n"/>
      <c r="N54" s="198" t="n"/>
      <c r="O54" s="198" t="n"/>
      <c r="P54" s="198" t="n"/>
      <c r="Q54" s="198" t="n"/>
      <c r="R54" s="169" t="n"/>
      <c r="S54" s="64" t="n"/>
      <c r="T54" s="64" t="n"/>
      <c r="U54" s="64" t="n"/>
      <c r="V54" s="64" t="n"/>
      <c r="W54" s="64" t="n"/>
      <c r="X54" s="64" t="n"/>
      <c r="Y54" s="64" t="n"/>
      <c r="Z54" s="64" t="n"/>
      <c r="AA54" s="64" t="n"/>
      <c r="AB54" s="64" t="n"/>
      <c r="AC54" s="64" t="n"/>
      <c r="AD54" s="64" t="n"/>
      <c r="AE54" s="64" t="n"/>
      <c r="AF54" s="64" t="n"/>
      <c r="AG54" s="64" t="n"/>
      <c r="AJ54" s="165">
        <f>AJ44</f>
        <v/>
      </c>
      <c r="AK54" s="148">
        <f>AK44</f>
        <v/>
      </c>
      <c r="AN54" s="151" t="inlineStr">
        <is>
          <t>Flex '26 Sprint 6: 3/19 - 4/2</t>
        </is>
      </c>
      <c r="AO54" s="64" t="n">
        <v>3</v>
      </c>
      <c r="AP54" s="64" t="n">
        <v>5</v>
      </c>
    </row>
    <row r="55" ht="18" customHeight="1">
      <c r="A55" s="198" t="n"/>
      <c r="B55" s="198" t="n"/>
      <c r="C55" s="198" t="n"/>
      <c r="D55" s="198" t="n"/>
      <c r="E55" s="198" t="n"/>
      <c r="F55" s="198" t="n"/>
      <c r="G55" s="198" t="n"/>
      <c r="H55" s="198" t="n"/>
      <c r="I55" s="198" t="n"/>
      <c r="J55" s="198" t="n"/>
      <c r="K55" s="198" t="n"/>
      <c r="L55" s="198" t="n"/>
      <c r="M55" s="198" t="n"/>
      <c r="N55" s="198" t="n"/>
      <c r="O55" s="198" t="n"/>
      <c r="P55" s="198" t="n"/>
      <c r="Q55" s="198" t="n"/>
      <c r="R55" s="169" t="n"/>
      <c r="S55" s="64" t="n"/>
      <c r="T55" s="64" t="n"/>
      <c r="U55" s="64" t="n"/>
      <c r="V55" s="64" t="n"/>
      <c r="W55" s="64" t="n"/>
      <c r="X55" s="64" t="n"/>
      <c r="Y55" s="64" t="n"/>
      <c r="Z55" s="64" t="n"/>
      <c r="AA55" s="64" t="n"/>
      <c r="AB55" s="64" t="n"/>
      <c r="AC55" s="64" t="n"/>
      <c r="AD55" s="64" t="n"/>
      <c r="AE55" s="64" t="n"/>
      <c r="AF55" s="64" t="n"/>
      <c r="AG55" s="64" t="n"/>
      <c r="AJ55" s="165">
        <f>AJ45</f>
        <v/>
      </c>
      <c r="AK55" s="148">
        <f>AK45</f>
        <v/>
      </c>
      <c r="AN55" s="151" t="inlineStr">
        <is>
          <t>Flex '26 Sprint 7: 4/2 - 4/16</t>
        </is>
      </c>
      <c r="AO55" s="64" t="n">
        <v>0</v>
      </c>
      <c r="AP55" s="64" t="n">
        <v>4</v>
      </c>
    </row>
    <row r="56" ht="18" customHeight="1">
      <c r="A56" s="198" t="n"/>
      <c r="B56" s="198" t="n"/>
      <c r="C56" s="198" t="n"/>
      <c r="D56" s="198" t="n"/>
      <c r="E56" s="198" t="n"/>
      <c r="F56" s="198" t="n"/>
      <c r="G56" s="198" t="n"/>
      <c r="H56" s="198" t="n"/>
      <c r="I56" s="198" t="n"/>
      <c r="J56" s="198" t="n"/>
      <c r="K56" s="198" t="n"/>
      <c r="L56" s="198" t="n"/>
      <c r="M56" s="198" t="n"/>
      <c r="N56" s="198" t="n"/>
      <c r="O56" s="198" t="n"/>
      <c r="P56" s="198" t="n"/>
      <c r="Q56" s="198" t="n"/>
      <c r="R56" s="169" t="n"/>
      <c r="S56" s="64" t="n"/>
      <c r="T56" s="64" t="n"/>
      <c r="U56" s="64" t="n"/>
      <c r="V56" s="64" t="n"/>
      <c r="W56" s="64" t="n"/>
      <c r="X56" s="64" t="n"/>
      <c r="Y56" s="64" t="n"/>
      <c r="Z56" s="64" t="n"/>
      <c r="AA56" s="64" t="n"/>
      <c r="AB56" s="64" t="n"/>
      <c r="AC56" s="64" t="n"/>
      <c r="AD56" s="64" t="n"/>
      <c r="AE56" s="64" t="n"/>
      <c r="AF56" s="64" t="n"/>
      <c r="AG56" s="64" t="n"/>
      <c r="AJ56" s="165">
        <f>AJ46</f>
        <v/>
      </c>
      <c r="AK56" s="148">
        <f>AK46</f>
        <v/>
      </c>
      <c r="AN56" s="151" t="inlineStr">
        <is>
          <t>Flex '26 Sprint 8: 4/16 - 4/30</t>
        </is>
      </c>
      <c r="AO56" s="64" t="n">
        <v>0</v>
      </c>
      <c r="AP56" s="64" t="n">
        <v>6</v>
      </c>
    </row>
    <row r="57" ht="18" customHeight="1">
      <c r="A57" s="198" t="n"/>
      <c r="B57" s="198" t="n"/>
      <c r="C57" s="198" t="n"/>
      <c r="D57" s="198" t="n"/>
      <c r="E57" s="198" t="n"/>
      <c r="F57" s="198" t="n"/>
      <c r="G57" s="198" t="n"/>
      <c r="H57" s="198" t="n"/>
      <c r="I57" s="198" t="n"/>
      <c r="J57" s="198" t="n"/>
      <c r="K57" s="198" t="n"/>
      <c r="L57" s="198" t="n"/>
      <c r="M57" s="198" t="n"/>
      <c r="N57" s="198" t="n"/>
      <c r="O57" s="198" t="n"/>
      <c r="P57" s="198" t="n"/>
      <c r="Q57" s="198" t="n"/>
      <c r="R57" s="169" t="n"/>
      <c r="S57" s="64" t="n"/>
      <c r="T57" s="64" t="n"/>
      <c r="U57" s="64" t="n"/>
      <c r="V57" s="64" t="n"/>
      <c r="W57" s="64" t="n"/>
      <c r="X57" s="64" t="n"/>
      <c r="Y57" s="64" t="n"/>
      <c r="Z57" s="64" t="n"/>
      <c r="AA57" s="64" t="n"/>
      <c r="AB57" s="64" t="n"/>
      <c r="AC57" s="64" t="n"/>
      <c r="AD57" s="64" t="n"/>
      <c r="AE57" s="64" t="n"/>
      <c r="AF57" s="64" t="n"/>
      <c r="AG57" s="64" t="n"/>
      <c r="AJ57" s="165">
        <f>AJ47</f>
        <v/>
      </c>
      <c r="AK57" s="148">
        <f>AK47</f>
        <v/>
      </c>
      <c r="AN57" s="151" t="inlineStr">
        <is>
          <t>Flex '26 Sprint 9: 4/30 - 5/14</t>
        </is>
      </c>
      <c r="AO57" s="64" t="n">
        <v>0</v>
      </c>
      <c r="AP57" s="64" t="n">
        <v>2</v>
      </c>
    </row>
    <row r="58" ht="18" customHeight="1">
      <c r="A58" s="198" t="n"/>
      <c r="B58" s="198" t="n"/>
      <c r="C58" s="198" t="n"/>
      <c r="D58" s="198" t="n"/>
      <c r="E58" s="198" t="n"/>
      <c r="F58" s="198" t="n"/>
      <c r="G58" s="198" t="n"/>
      <c r="H58" s="198" t="n"/>
      <c r="I58" s="198" t="n"/>
      <c r="J58" s="198" t="n"/>
      <c r="K58" s="198" t="n"/>
      <c r="L58" s="198" t="n"/>
      <c r="M58" s="198" t="n"/>
      <c r="N58" s="198" t="n"/>
      <c r="O58" s="198" t="n"/>
      <c r="P58" s="198" t="n"/>
      <c r="Q58" s="198" t="n"/>
      <c r="R58" s="169" t="n"/>
      <c r="S58" s="64" t="n"/>
      <c r="T58" s="64" t="n"/>
      <c r="U58" s="64" t="n"/>
      <c r="V58" s="64" t="n"/>
      <c r="W58" s="64" t="n"/>
      <c r="X58" s="64" t="n"/>
      <c r="Y58" s="64" t="n"/>
      <c r="Z58" s="64" t="n"/>
      <c r="AA58" s="64" t="n"/>
      <c r="AB58" s="150" t="n"/>
      <c r="AC58" s="150" t="n"/>
      <c r="AD58" s="150" t="n"/>
      <c r="AE58" s="150" t="n"/>
      <c r="AF58" s="150" t="n"/>
      <c r="AG58" s="64" t="n"/>
      <c r="AJ58" s="165">
        <f>AJ48</f>
        <v/>
      </c>
      <c r="AK58" s="148">
        <f>AK48</f>
        <v/>
      </c>
      <c r="AN58" s="151" t="inlineStr">
        <is>
          <t>Flex '26 Sprint10: 5/14 - 5/28</t>
        </is>
      </c>
      <c r="AO58" s="64" t="n">
        <v>0</v>
      </c>
      <c r="AP58" s="64" t="n">
        <v>6</v>
      </c>
    </row>
    <row r="59" ht="18" customHeight="1">
      <c r="A59" s="198" t="n"/>
      <c r="B59" s="198" t="n"/>
      <c r="C59" s="198" t="n"/>
      <c r="D59" s="198" t="n"/>
      <c r="E59" s="198" t="n"/>
      <c r="F59" s="198" t="n"/>
      <c r="G59" s="198" t="n"/>
      <c r="H59" s="198" t="n"/>
      <c r="I59" s="198" t="n"/>
      <c r="J59" s="198" t="n"/>
      <c r="K59" s="198" t="n"/>
      <c r="L59" s="198" t="n"/>
      <c r="M59" s="198" t="n"/>
      <c r="N59" s="198" t="n"/>
      <c r="O59" s="198" t="n"/>
      <c r="P59" s="198" t="n"/>
      <c r="Q59" s="198" t="n"/>
      <c r="R59" s="169" t="n"/>
      <c r="S59" s="64" t="n"/>
      <c r="T59" s="64" t="n"/>
      <c r="U59" s="64" t="n"/>
      <c r="V59" s="64" t="n"/>
      <c r="W59" s="64" t="n"/>
      <c r="X59" s="64" t="n"/>
      <c r="Y59" s="64" t="n"/>
      <c r="Z59" s="64" t="n"/>
      <c r="AA59" s="64" t="n"/>
      <c r="AB59" s="150" t="n"/>
      <c r="AC59" s="150" t="n"/>
      <c r="AD59" s="150" t="n"/>
      <c r="AE59" s="150" t="n"/>
      <c r="AF59" s="150" t="n"/>
      <c r="AG59" s="64" t="n"/>
      <c r="AJ59" s="165">
        <f>AJ49</f>
        <v/>
      </c>
      <c r="AK59" s="148">
        <f>AK49</f>
        <v/>
      </c>
    </row>
    <row r="60" ht="18" customHeight="1">
      <c r="A60" s="198" t="n"/>
      <c r="B60" s="198" t="n"/>
      <c r="C60" s="198" t="n"/>
      <c r="D60" s="198" t="n"/>
      <c r="E60" s="198" t="n"/>
      <c r="F60" s="198" t="n"/>
      <c r="G60" s="198" t="n"/>
      <c r="H60" s="198" t="n"/>
      <c r="I60" s="198" t="n"/>
      <c r="J60" s="198" t="n"/>
      <c r="K60" s="198" t="n"/>
      <c r="L60" s="198" t="n"/>
      <c r="M60" s="198" t="n"/>
      <c r="N60" s="198" t="n"/>
      <c r="O60" s="198" t="n"/>
      <c r="P60" s="198" t="n"/>
      <c r="Q60" s="198" t="n"/>
      <c r="R60" s="169" t="n"/>
      <c r="S60" s="64" t="n"/>
      <c r="T60" s="64" t="n"/>
      <c r="U60" s="64" t="n"/>
      <c r="V60" s="64" t="n"/>
      <c r="W60" s="64" t="n"/>
      <c r="X60" s="64" t="n"/>
      <c r="Y60" s="64" t="n"/>
      <c r="Z60" s="64" t="n"/>
      <c r="AA60" s="64" t="n"/>
      <c r="AB60" s="150" t="n"/>
      <c r="AC60" s="150" t="n"/>
      <c r="AD60" s="150" t="n"/>
      <c r="AE60" s="150" t="n"/>
      <c r="AF60" s="150" t="n"/>
      <c r="AG60" s="64" t="n"/>
      <c r="AJ60" s="165">
        <f>AJ50</f>
        <v/>
      </c>
      <c r="AK60" s="148">
        <f>AK50</f>
        <v/>
      </c>
      <c r="AN60" s="74" t="inlineStr">
        <is>
          <t>Sprint</t>
        </is>
      </c>
      <c r="AO60" s="83" t="inlineStr">
        <is>
          <t>V2</t>
        </is>
      </c>
      <c r="AP60" s="83" t="inlineStr">
        <is>
          <t>LT</t>
        </is>
      </c>
    </row>
    <row r="61" ht="18" customHeight="1">
      <c r="A61" s="198" t="n"/>
      <c r="B61" s="198" t="n"/>
      <c r="C61" s="198" t="n"/>
      <c r="D61" s="198" t="n"/>
      <c r="E61" s="198" t="n"/>
      <c r="F61" s="198" t="n"/>
      <c r="G61" s="198" t="n"/>
      <c r="H61" s="198" t="n"/>
      <c r="I61" s="198" t="n"/>
      <c r="J61" s="198" t="n"/>
      <c r="K61" s="198" t="n"/>
      <c r="L61" s="198" t="n"/>
      <c r="M61" s="198" t="n"/>
      <c r="N61" s="198" t="n"/>
      <c r="O61" s="198" t="n"/>
      <c r="P61" s="198" t="n"/>
      <c r="Q61" s="198" t="n"/>
      <c r="R61" s="169" t="n"/>
      <c r="S61" s="64" t="n"/>
      <c r="T61" s="64" t="n"/>
      <c r="U61" s="64" t="n"/>
      <c r="V61" s="64" t="n"/>
      <c r="W61" s="64" t="n"/>
      <c r="X61" s="64" t="n"/>
      <c r="Y61" s="64" t="n"/>
      <c r="Z61" s="64" t="n"/>
      <c r="AA61" s="64" t="n"/>
      <c r="AB61" s="150" t="n"/>
      <c r="AC61" s="150" t="n"/>
      <c r="AD61" s="150" t="n"/>
      <c r="AE61" s="150" t="n"/>
      <c r="AF61" s="150" t="n"/>
      <c r="AG61" s="64" t="n"/>
      <c r="AN61" s="151" t="inlineStr">
        <is>
          <t>Flex '26 Sprint 5: 3/5 - 3/19</t>
        </is>
      </c>
      <c r="AO61" s="64" t="n">
        <v>0</v>
      </c>
      <c r="AP61" s="64" t="n">
        <v>16</v>
      </c>
    </row>
    <row r="62" ht="18" customHeight="1">
      <c r="A62" s="198" t="n"/>
      <c r="B62" s="198" t="n"/>
      <c r="C62" s="198" t="n"/>
      <c r="D62" s="198" t="n"/>
      <c r="E62" s="198" t="n"/>
      <c r="F62" s="198" t="n"/>
      <c r="G62" s="198" t="n"/>
      <c r="H62" s="198" t="n"/>
      <c r="I62" s="198" t="n"/>
      <c r="J62" s="198" t="n"/>
      <c r="K62" s="198" t="n"/>
      <c r="L62" s="198" t="n"/>
      <c r="M62" s="198" t="n"/>
      <c r="N62" s="198" t="n"/>
      <c r="O62" s="198" t="n"/>
      <c r="P62" s="198" t="n"/>
      <c r="Q62" s="198" t="n"/>
      <c r="R62" s="169" t="n"/>
      <c r="S62" s="64" t="n"/>
      <c r="T62" s="64" t="n"/>
      <c r="U62" s="64" t="n"/>
      <c r="V62" s="64" t="n"/>
      <c r="W62" s="64" t="n"/>
      <c r="X62" s="64" t="n"/>
      <c r="Y62" s="64" t="n"/>
      <c r="Z62" s="64" t="n"/>
      <c r="AA62" s="64" t="n"/>
      <c r="AB62" s="150" t="n"/>
      <c r="AC62" s="150" t="n"/>
      <c r="AD62" s="150" t="n"/>
      <c r="AE62" s="150" t="n"/>
      <c r="AF62" s="150" t="n"/>
      <c r="AG62" s="64" t="n"/>
      <c r="AN62" s="151" t="inlineStr">
        <is>
          <t>Flex '26 Sprint 6: 3/19 - 4/2</t>
        </is>
      </c>
      <c r="AO62" s="64" t="n">
        <v>0</v>
      </c>
      <c r="AP62" s="64" t="n">
        <v>26</v>
      </c>
    </row>
    <row r="63" ht="18" customHeight="1">
      <c r="A63" s="198" t="n"/>
      <c r="B63" s="198" t="n"/>
      <c r="C63" s="198" t="n"/>
      <c r="D63" s="198" t="n"/>
      <c r="E63" s="198" t="n"/>
      <c r="F63" s="198" t="n"/>
      <c r="G63" s="198" t="n"/>
      <c r="H63" s="198" t="n"/>
      <c r="I63" s="198" t="n"/>
      <c r="J63" s="198" t="n"/>
      <c r="K63" s="198" t="n"/>
      <c r="L63" s="198" t="n"/>
      <c r="M63" s="198" t="n"/>
      <c r="N63" s="198" t="n"/>
      <c r="O63" s="198" t="n"/>
      <c r="P63" s="198" t="n"/>
      <c r="Q63" s="198" t="n"/>
      <c r="R63" s="169" t="n"/>
      <c r="S63" s="64" t="n"/>
      <c r="T63" s="64" t="n"/>
      <c r="U63" s="64" t="n"/>
      <c r="V63" s="64" t="n"/>
      <c r="W63" s="64" t="n"/>
      <c r="X63" s="64" t="n"/>
      <c r="Y63" s="64" t="n"/>
      <c r="Z63" s="64" t="n"/>
      <c r="AA63" s="64" t="n"/>
      <c r="AB63" s="150" t="n"/>
      <c r="AC63" s="150" t="n"/>
      <c r="AD63" s="150" t="n"/>
      <c r="AE63" s="150" t="n"/>
      <c r="AF63" s="150" t="n"/>
      <c r="AG63" s="64" t="n"/>
      <c r="AN63" s="151" t="inlineStr">
        <is>
          <t>Flex '26 Sprint 7: 4/2 - 4/16</t>
        </is>
      </c>
      <c r="AO63" s="64" t="n">
        <v>2</v>
      </c>
      <c r="AP63" s="64" t="n">
        <v>5</v>
      </c>
    </row>
    <row r="64" ht="18" customHeight="1">
      <c r="A64" s="198" t="n"/>
      <c r="B64" s="198" t="n"/>
      <c r="C64" s="198" t="n"/>
      <c r="D64" s="198" t="n"/>
      <c r="E64" s="198" t="n"/>
      <c r="F64" s="198" t="n"/>
      <c r="G64" s="198" t="n"/>
      <c r="H64" s="198" t="n"/>
      <c r="I64" s="198" t="n"/>
      <c r="J64" s="198" t="n"/>
      <c r="K64" s="198" t="n"/>
      <c r="L64" s="198" t="n"/>
      <c r="M64" s="198" t="n"/>
      <c r="N64" s="198" t="n"/>
      <c r="O64" s="198" t="n"/>
      <c r="P64" s="198" t="n"/>
      <c r="Q64" s="198" t="n"/>
      <c r="R64" s="169" t="n"/>
      <c r="S64" s="64" t="n"/>
      <c r="T64" s="64" t="n"/>
      <c r="U64" s="64" t="n"/>
      <c r="V64" s="64" t="n"/>
      <c r="W64" s="64" t="n"/>
      <c r="X64" s="64" t="n"/>
      <c r="Y64" s="64" t="n"/>
      <c r="Z64" s="64" t="n"/>
      <c r="AA64" s="64" t="n"/>
      <c r="AB64" s="150" t="n"/>
      <c r="AC64" s="150" t="n"/>
      <c r="AD64" s="150" t="n"/>
      <c r="AE64" s="150" t="n"/>
      <c r="AF64" s="150" t="n"/>
      <c r="AG64" s="64" t="n"/>
      <c r="AN64" s="151" t="inlineStr">
        <is>
          <t>Flex '26 Sprint 8: 4/16 - 4/30</t>
        </is>
      </c>
      <c r="AO64" s="64" t="n">
        <v>0</v>
      </c>
      <c r="AP64" s="64" t="n">
        <v>11</v>
      </c>
    </row>
    <row r="65" ht="18" customHeight="1">
      <c r="A65" s="198" t="n"/>
      <c r="B65" s="198" t="n"/>
      <c r="C65" s="198" t="n"/>
      <c r="D65" s="198" t="n"/>
      <c r="E65" s="198" t="n"/>
      <c r="F65" s="198" t="n"/>
      <c r="G65" s="198" t="n"/>
      <c r="H65" s="198" t="n"/>
      <c r="I65" s="198" t="n"/>
      <c r="J65" s="198" t="n"/>
      <c r="K65" s="198" t="n"/>
      <c r="L65" s="198" t="n"/>
      <c r="M65" s="198" t="n"/>
      <c r="N65" s="198" t="n"/>
      <c r="O65" s="198" t="n"/>
      <c r="P65" s="198" t="n"/>
      <c r="Q65" s="198" t="n"/>
      <c r="R65" s="169" t="n"/>
      <c r="S65" s="64" t="n"/>
      <c r="T65" s="64" t="n"/>
      <c r="U65" s="64" t="n"/>
      <c r="V65" s="64" t="n"/>
      <c r="W65" s="64" t="n"/>
      <c r="X65" s="64" t="n"/>
      <c r="Y65" s="64" t="n"/>
      <c r="Z65" s="64" t="n"/>
      <c r="AA65" s="64" t="n"/>
      <c r="AB65" s="150" t="n"/>
      <c r="AC65" s="150" t="n"/>
      <c r="AD65" s="150" t="n"/>
      <c r="AE65" s="150" t="n"/>
      <c r="AF65" s="150" t="n"/>
      <c r="AG65" s="64" t="n"/>
      <c r="AN65" s="151" t="inlineStr">
        <is>
          <t>Flex '26 Sprint 9: 4/30 - 5/14</t>
        </is>
      </c>
      <c r="AO65" s="64" t="n">
        <v>0</v>
      </c>
      <c r="AP65" s="64" t="n">
        <v>5</v>
      </c>
    </row>
    <row r="66" ht="18" customHeight="1">
      <c r="A66" s="198" t="n"/>
      <c r="B66" s="198" t="n"/>
      <c r="C66" s="198" t="n"/>
      <c r="D66" s="198" t="n"/>
      <c r="E66" s="198" t="n"/>
      <c r="F66" s="198" t="n"/>
      <c r="G66" s="198" t="n"/>
      <c r="H66" s="198" t="n"/>
      <c r="I66" s="198" t="n"/>
      <c r="J66" s="198" t="n"/>
      <c r="K66" s="198" t="n"/>
      <c r="L66" s="198" t="n"/>
      <c r="M66" s="198" t="n"/>
      <c r="N66" s="198" t="n"/>
      <c r="O66" s="198" t="n"/>
      <c r="P66" s="198" t="n"/>
      <c r="Q66" s="198" t="n"/>
      <c r="R66" s="169" t="n"/>
      <c r="S66" s="64" t="n"/>
      <c r="T66" s="64" t="n"/>
      <c r="U66" s="64" t="n"/>
      <c r="V66" s="64" t="n"/>
      <c r="W66" s="64" t="n"/>
      <c r="X66" s="64" t="n"/>
      <c r="Y66" s="64" t="n"/>
      <c r="Z66" s="64" t="n"/>
      <c r="AA66" s="64" t="n"/>
      <c r="AB66" s="150" t="n"/>
      <c r="AC66" s="150" t="n"/>
      <c r="AD66" s="150" t="n"/>
      <c r="AE66" s="150" t="n"/>
      <c r="AF66" s="150" t="n"/>
      <c r="AG66" s="64" t="n"/>
      <c r="AN66" s="151" t="inlineStr">
        <is>
          <t>Flex '26 Sprint10: 5/14 - 5/28</t>
        </is>
      </c>
      <c r="AO66" s="64" t="n">
        <v>4</v>
      </c>
      <c r="AP66" s="64" t="n">
        <v>6</v>
      </c>
    </row>
    <row r="67" ht="18" customHeight="1">
      <c r="A67" s="198" t="n"/>
      <c r="B67" s="198" t="n"/>
      <c r="C67" s="198" t="n"/>
      <c r="D67" s="198" t="n"/>
      <c r="E67" s="198" t="n"/>
      <c r="F67" s="198" t="n"/>
      <c r="G67" s="198" t="n"/>
      <c r="H67" s="198" t="n"/>
      <c r="I67" s="198" t="n"/>
      <c r="J67" s="198" t="n"/>
      <c r="K67" s="198" t="n"/>
      <c r="L67" s="198" t="n"/>
      <c r="M67" s="198" t="n"/>
      <c r="N67" s="198" t="n"/>
      <c r="O67" s="198" t="n"/>
      <c r="P67" s="198" t="n"/>
      <c r="Q67" s="198" t="n"/>
      <c r="R67" s="169" t="n"/>
      <c r="S67" s="64" t="n"/>
      <c r="T67" s="64" t="n"/>
      <c r="U67" s="64" t="n"/>
      <c r="V67" s="64" t="n"/>
      <c r="W67" s="64" t="n"/>
      <c r="X67" s="64" t="n"/>
      <c r="Y67" s="64" t="n"/>
      <c r="Z67" s="64" t="n"/>
      <c r="AA67" s="64" t="n"/>
      <c r="AB67" s="150" t="n"/>
      <c r="AC67" s="150" t="n"/>
      <c r="AD67" s="150" t="n"/>
      <c r="AE67" s="150" t="n"/>
      <c r="AF67" s="150" t="n"/>
      <c r="AG67" s="64" t="n"/>
    </row>
    <row r="68" ht="18" customHeight="1">
      <c r="A68" s="198" t="n"/>
      <c r="B68" s="198" t="n"/>
      <c r="C68" s="198" t="n"/>
      <c r="D68" s="198" t="n"/>
      <c r="E68" s="198" t="n"/>
      <c r="F68" s="198" t="n"/>
      <c r="G68" s="198" t="n"/>
      <c r="H68" s="198" t="n"/>
      <c r="I68" s="198" t="n"/>
      <c r="J68" s="198" t="n"/>
      <c r="K68" s="198" t="n"/>
      <c r="L68" s="198" t="n"/>
      <c r="M68" s="198" t="n"/>
      <c r="N68" s="198" t="n"/>
      <c r="O68" s="198" t="n"/>
      <c r="P68" s="198" t="n"/>
      <c r="Q68" s="198" t="n"/>
      <c r="R68" s="169" t="n"/>
      <c r="S68" s="64" t="n"/>
      <c r="T68" s="64" t="n"/>
      <c r="U68" s="64" t="n"/>
      <c r="V68" s="64" t="n"/>
      <c r="W68" s="64" t="n"/>
      <c r="X68" s="64" t="n"/>
      <c r="Y68" s="64" t="n"/>
      <c r="Z68" s="64" t="n"/>
      <c r="AA68" s="64" t="n"/>
      <c r="AB68" s="150" t="n"/>
      <c r="AC68" s="150" t="n"/>
      <c r="AD68" s="150" t="n"/>
      <c r="AE68" s="150" t="n"/>
      <c r="AF68" s="150" t="n"/>
      <c r="AG68" s="64" t="n"/>
    </row>
    <row r="69" ht="18" customHeight="1">
      <c r="R69" s="169" t="n"/>
      <c r="S69" s="64" t="n"/>
      <c r="T69" s="64" t="n"/>
      <c r="U69" s="64" t="n"/>
      <c r="V69" s="64" t="n"/>
      <c r="W69" s="64" t="n"/>
      <c r="X69" s="64" t="n"/>
      <c r="Y69" s="64" t="n"/>
      <c r="Z69" s="64" t="n"/>
      <c r="AA69" s="64" t="n"/>
      <c r="AB69" s="150" t="n"/>
      <c r="AC69" s="150" t="n"/>
      <c r="AD69" s="150" t="n"/>
      <c r="AE69" s="150" t="n"/>
      <c r="AF69" s="150" t="n"/>
      <c r="AG69" s="64" t="n"/>
    </row>
    <row r="70" ht="18" customHeight="1">
      <c r="R70" s="169" t="n"/>
      <c r="S70" s="64" t="n"/>
      <c r="T70" s="64" t="n"/>
      <c r="U70" s="64" t="n"/>
      <c r="V70" s="64" t="n"/>
      <c r="W70" s="64" t="n"/>
      <c r="X70" s="64" t="n"/>
      <c r="Y70" s="64" t="n"/>
      <c r="Z70" s="64" t="n"/>
      <c r="AA70" s="64" t="n"/>
      <c r="AB70" s="150" t="n"/>
      <c r="AC70" s="150" t="n"/>
      <c r="AD70" s="150" t="n"/>
      <c r="AE70" s="150" t="n"/>
      <c r="AF70" s="150" t="n"/>
      <c r="AG70" s="64" t="n"/>
    </row>
    <row r="71" ht="18" customHeight="1">
      <c r="R71" s="169" t="n"/>
      <c r="S71" s="64" t="n"/>
      <c r="T71" s="64" t="n"/>
      <c r="U71" s="64" t="n"/>
      <c r="V71" s="64" t="n"/>
      <c r="W71" s="64" t="n"/>
      <c r="X71" s="64" t="n"/>
      <c r="Y71" s="64" t="n"/>
      <c r="Z71" s="64" t="n"/>
      <c r="AA71" s="64" t="n"/>
      <c r="AB71" s="150" t="n"/>
      <c r="AC71" s="150" t="n"/>
      <c r="AD71" s="150" t="n"/>
      <c r="AE71" s="150" t="n"/>
      <c r="AF71" s="150" t="n"/>
      <c r="AG71" s="64" t="n"/>
    </row>
    <row r="72" ht="18" customHeight="1">
      <c r="R72" s="169" t="n"/>
      <c r="S72" s="64" t="n"/>
      <c r="T72" s="64" t="n"/>
      <c r="U72" s="64" t="n"/>
      <c r="V72" s="64" t="n"/>
      <c r="W72" s="64" t="n"/>
      <c r="X72" s="64" t="n"/>
      <c r="Y72" s="64" t="n"/>
      <c r="Z72" s="64" t="n"/>
      <c r="AA72" s="64" t="n"/>
      <c r="AB72" s="150" t="n"/>
      <c r="AC72" s="150" t="n"/>
      <c r="AD72" s="150" t="n"/>
      <c r="AE72" s="150" t="n"/>
      <c r="AF72" s="150" t="n"/>
      <c r="AG72" s="64" t="n"/>
    </row>
    <row r="73" ht="18" customHeight="1">
      <c r="R73" s="169" t="n"/>
      <c r="S73" s="64" t="n"/>
      <c r="T73" s="64" t="n"/>
      <c r="U73" s="64" t="n"/>
      <c r="V73" s="64" t="n"/>
      <c r="W73" s="64" t="n"/>
      <c r="X73" s="64" t="n"/>
      <c r="Y73" s="64" t="n"/>
      <c r="Z73" s="64" t="n"/>
      <c r="AA73" s="64" t="n"/>
      <c r="AB73" s="150" t="n"/>
      <c r="AC73" s="150" t="n"/>
      <c r="AD73" s="150" t="n"/>
      <c r="AE73" s="150" t="n"/>
      <c r="AF73" s="150" t="n"/>
      <c r="AG73" s="64" t="n"/>
    </row>
    <row r="74" ht="18" customHeight="1">
      <c r="R74" s="169" t="n"/>
      <c r="S74" s="64" t="n"/>
      <c r="T74" s="64" t="n"/>
      <c r="U74" s="64" t="n"/>
      <c r="V74" s="64" t="n"/>
      <c r="W74" s="64" t="n"/>
      <c r="X74" s="64" t="n"/>
      <c r="Y74" s="64" t="n"/>
      <c r="Z74" s="64" t="n"/>
      <c r="AA74" s="64" t="n"/>
      <c r="AB74" s="150" t="n"/>
      <c r="AC74" s="150" t="n"/>
      <c r="AD74" s="150" t="n"/>
      <c r="AE74" s="150" t="n"/>
      <c r="AF74" s="150" t="n"/>
      <c r="AG74" s="64" t="n"/>
    </row>
    <row r="75" ht="18" customHeight="1">
      <c r="R75" s="169" t="n"/>
      <c r="S75" s="64" t="n"/>
      <c r="T75" s="64" t="n"/>
      <c r="U75" s="64" t="n"/>
      <c r="V75" s="64" t="n"/>
      <c r="W75" s="64" t="n"/>
      <c r="X75" s="64" t="n"/>
      <c r="Y75" s="64" t="n"/>
      <c r="Z75" s="64" t="n"/>
      <c r="AA75" s="64" t="n"/>
      <c r="AB75" s="150" t="n"/>
      <c r="AC75" s="150" t="n"/>
      <c r="AD75" s="150" t="n"/>
      <c r="AE75" s="150" t="n"/>
      <c r="AF75" s="150" t="n"/>
      <c r="AG75" s="64" t="n"/>
    </row>
    <row r="76" ht="18" customHeight="1">
      <c r="R76" s="169" t="n"/>
      <c r="S76" s="64" t="n"/>
      <c r="T76" s="64" t="n"/>
      <c r="U76" s="64" t="n"/>
      <c r="V76" s="64" t="n"/>
      <c r="W76" s="64" t="n"/>
      <c r="X76" s="64" t="n"/>
      <c r="Y76" s="64" t="n"/>
      <c r="Z76" s="64" t="n"/>
      <c r="AA76" s="64" t="n"/>
      <c r="AB76" s="150" t="n"/>
      <c r="AC76" s="150" t="n"/>
      <c r="AD76" s="150" t="n"/>
      <c r="AE76" s="150" t="n"/>
      <c r="AF76" s="150" t="n"/>
      <c r="AG76" s="64"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7/28 - 8/11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7/28 - 8/11</t>
        </is>
      </c>
      <c r="B4" t="n">
        <v>32</v>
      </c>
      <c r="C4" t="n">
        <v>27</v>
      </c>
      <c r="D4" t="n">
        <v>10</v>
      </c>
      <c r="E4" t="n">
        <v>29</v>
      </c>
      <c r="F4" t="n">
        <v>0</v>
      </c>
      <c r="G4" t="n">
        <v>2</v>
      </c>
      <c r="H4" t="n">
        <v>3</v>
      </c>
      <c r="I4" t="n">
        <v>2</v>
      </c>
      <c r="J4" t="n">
        <v>3</v>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19" activePane="bottomLeft" state="frozen"/>
      <selection pane="bottomLeft" activeCell="V19" sqref="V19"/>
    </sheetView>
  </sheetViews>
  <sheetFormatPr baseColWidth="8" defaultRowHeight="15"/>
  <cols>
    <col width="21.85546875" bestFit="1" customWidth="1" min="3" max="3"/>
    <col width="20.7109375" bestFit="1" customWidth="1" style="31" min="20" max="20"/>
    <col width="21" bestFit="1" customWidth="1" style="52" min="21" max="21"/>
    <col width="21" customWidth="1" style="52" min="22" max="22"/>
    <col width="9.140625" customWidth="1" style="52" min="23" max="25"/>
    <col width="16.5703125" bestFit="1" customWidth="1" style="52" min="26" max="26"/>
    <col width="12.28515625" bestFit="1" customWidth="1" style="52" min="27" max="27"/>
    <col width="11.85546875" bestFit="1" customWidth="1" style="52" min="28" max="28"/>
    <col width="10.28515625" bestFit="1" customWidth="1" style="52" min="29" max="29"/>
    <col width="18.5703125" bestFit="1" customWidth="1" style="52" min="30" max="30"/>
    <col width="20.28515625" bestFit="1" customWidth="1" style="3" min="31" max="31"/>
    <col width="20.28515625" customWidth="1" style="3" min="32" max="33"/>
    <col width="26.42578125" bestFit="1" customWidth="1" style="3" min="34" max="34"/>
    <col width="20.28515625" customWidth="1" min="35" max="35"/>
    <col width="19.7109375" bestFit="1" customWidth="1" min="37" max="37"/>
    <col width="28.5703125" bestFit="1" customWidth="1" min="38" max="38"/>
    <col width="28.140625" bestFit="1" customWidth="1" min="39" max="39"/>
    <col width="19.7109375" bestFit="1" customWidth="1" min="41" max="41"/>
    <col width="14.85546875" bestFit="1" customWidth="1" min="42" max="42"/>
    <col width="17.5703125" bestFit="1" customWidth="1" min="43" max="43"/>
    <col width="28.28515625" bestFit="1" customWidth="1" min="45" max="45"/>
    <col width="45.85546875" bestFit="1" customWidth="1" min="46" max="46"/>
    <col width="45.42578125" bestFit="1" customWidth="1" min="47" max="47"/>
  </cols>
  <sheetData>
    <row r="1" ht="15.75" customHeight="1" thickBot="1">
      <c r="T1" s="33" t="inlineStr">
        <is>
          <t>Week Starting On</t>
        </is>
      </c>
      <c r="U1" s="50" t="inlineStr">
        <is>
          <t>Planned story points</t>
        </is>
      </c>
      <c r="V1" s="50" t="inlineStr">
        <is>
          <t>Actual delivered</t>
        </is>
      </c>
      <c r="W1" s="50" t="inlineStr">
        <is>
          <t>V2</t>
        </is>
      </c>
      <c r="X1" s="50" t="inlineStr">
        <is>
          <t>LT</t>
        </is>
      </c>
      <c r="Y1" s="50" t="inlineStr">
        <is>
          <t>Rework</t>
        </is>
      </c>
      <c r="Z1" s="50" t="inlineStr">
        <is>
          <t>Reopened SP (LT)</t>
        </is>
      </c>
      <c r="AA1" s="50" t="inlineStr">
        <is>
          <t>V2 Carryover</t>
        </is>
      </c>
      <c r="AB1" s="50" t="inlineStr">
        <is>
          <t>LT Carryover</t>
        </is>
      </c>
      <c r="AC1" s="50" t="inlineStr">
        <is>
          <t>QA Passed</t>
        </is>
      </c>
      <c r="AD1" s="51" t="inlineStr">
        <is>
          <t>V2 Reopen Percentage</t>
        </is>
      </c>
      <c r="AE1" s="51" t="inlineStr">
        <is>
          <t>LT Reopen Percentage</t>
        </is>
      </c>
      <c r="AF1" s="51" t="inlineStr">
        <is>
          <t>V2 Carryover Percentage</t>
        </is>
      </c>
      <c r="AG1" s="51" t="inlineStr">
        <is>
          <t>LT Carryover Percentage</t>
        </is>
      </c>
      <c r="AH1" s="51" t="inlineStr">
        <is>
          <t>Planned Vs Completed ratio</t>
        </is>
      </c>
      <c r="AI1" s="23" t="inlineStr">
        <is>
          <t>Sprint velocity</t>
        </is>
      </c>
      <c r="AK1" s="4" t="inlineStr">
        <is>
          <t>Row Labels</t>
        </is>
      </c>
      <c r="AL1" t="inlineStr">
        <is>
          <t>Sum of V2</t>
        </is>
      </c>
      <c r="AM1" t="inlineStr">
        <is>
          <t>Sum of LT</t>
        </is>
      </c>
      <c r="AO1" s="4" t="inlineStr">
        <is>
          <t>Row Labels</t>
        </is>
      </c>
      <c r="AP1" t="inlineStr">
        <is>
          <t>Sum of Rework</t>
        </is>
      </c>
      <c r="AQ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T2" s="31" t="inlineStr">
        <is>
          <t>2022: SUB 01/04 - 01/18</t>
        </is>
      </c>
      <c r="U2" s="52" t="n">
        <v>13</v>
      </c>
      <c r="V2" s="52">
        <f>U2-(AA2+AB2)</f>
        <v/>
      </c>
      <c r="W2" s="52" t="n">
        <v>11</v>
      </c>
      <c r="X2" s="52" t="n">
        <v>2</v>
      </c>
      <c r="Y2" s="52" t="n">
        <v>0</v>
      </c>
      <c r="Z2" s="52" t="n">
        <v>0</v>
      </c>
      <c r="AA2" s="52" t="n">
        <v>0</v>
      </c>
      <c r="AB2" s="52" t="n">
        <v>0</v>
      </c>
      <c r="AC2" s="52">
        <f>W2-Y2</f>
        <v/>
      </c>
      <c r="AD2" s="53">
        <f>Y2/W2</f>
        <v/>
      </c>
      <c r="AE2" s="53">
        <f>Z2/X2</f>
        <v/>
      </c>
      <c r="AF2" s="53">
        <f>AA2/W2</f>
        <v/>
      </c>
      <c r="AG2" s="53">
        <f>AB2/X2</f>
        <v/>
      </c>
      <c r="AH2" s="53">
        <f>V2/U2</f>
        <v/>
      </c>
      <c r="AI2" s="23" t="n"/>
      <c r="AK2" s="2" t="inlineStr">
        <is>
          <t>2022: OCR 7.5 - 7.19</t>
        </is>
      </c>
      <c r="AL2" t="n">
        <v>8</v>
      </c>
      <c r="AM2" t="n">
        <v>24</v>
      </c>
      <c r="AO2" s="2" t="inlineStr">
        <is>
          <t>2022: OCR 7.5 - 7.19</t>
        </is>
      </c>
      <c r="AP2" t="n">
        <v>0</v>
      </c>
      <c r="AQ2" t="n">
        <v>8</v>
      </c>
      <c r="AV2" t="inlineStr">
        <is>
          <t>Green</t>
        </is>
      </c>
    </row>
    <row r="3" ht="15" customHeight="1">
      <c r="B3" s="17" t="n"/>
      <c r="Q3" s="10" t="n"/>
      <c r="T3" s="31" t="inlineStr">
        <is>
          <t>2022: OCR 01/18 - 02/01</t>
        </is>
      </c>
      <c r="U3" s="52" t="n">
        <v>57</v>
      </c>
      <c r="V3" s="52">
        <f>U3-(AA3+AB3)</f>
        <v/>
      </c>
      <c r="W3" s="52" t="n">
        <v>10</v>
      </c>
      <c r="X3" s="52" t="n">
        <v>47</v>
      </c>
      <c r="Y3" s="52" t="n">
        <v>0</v>
      </c>
      <c r="Z3" s="52" t="n">
        <v>14</v>
      </c>
      <c r="AA3" s="52" t="n">
        <v>5</v>
      </c>
      <c r="AB3" s="52" t="n">
        <v>16</v>
      </c>
      <c r="AC3" s="52">
        <f>W3-Y3</f>
        <v/>
      </c>
      <c r="AD3" s="53">
        <f>Y3/W3</f>
        <v/>
      </c>
      <c r="AE3" s="53">
        <f>Z3/X3</f>
        <v/>
      </c>
      <c r="AF3" s="53">
        <f>AA3/W3</f>
        <v/>
      </c>
      <c r="AG3" s="53">
        <f>AB3/X3</f>
        <v/>
      </c>
      <c r="AH3" s="53">
        <f>V3/U3</f>
        <v/>
      </c>
      <c r="AI3" s="23" t="n"/>
      <c r="AK3" s="2" t="inlineStr">
        <is>
          <t>2022: OCR 7.19 - 8.2</t>
        </is>
      </c>
      <c r="AL3" t="n">
        <v>7</v>
      </c>
      <c r="AM3" t="n">
        <v>22</v>
      </c>
      <c r="AO3" s="2" t="inlineStr">
        <is>
          <t>2022: OCR 7.19 - 8.2</t>
        </is>
      </c>
      <c r="AP3" t="n">
        <v>0</v>
      </c>
      <c r="AQ3" t="n">
        <v>7</v>
      </c>
      <c r="AV3" t="inlineStr">
        <is>
          <t>Red</t>
        </is>
      </c>
    </row>
    <row r="4" ht="15" customHeight="1">
      <c r="B4" s="17" t="n"/>
      <c r="Q4" s="10" t="n"/>
      <c r="T4" s="31" t="inlineStr">
        <is>
          <t>2022: OCR 3/1 - 3/15</t>
        </is>
      </c>
      <c r="U4" s="52" t="n">
        <v>49</v>
      </c>
      <c r="V4" s="52">
        <f>U4-(AA4+AB4)</f>
        <v/>
      </c>
      <c r="W4" s="52" t="n">
        <v>5</v>
      </c>
      <c r="X4" s="52" t="n">
        <v>44</v>
      </c>
      <c r="Y4" s="52" t="n">
        <v>0</v>
      </c>
      <c r="Z4" s="52" t="n">
        <v>19</v>
      </c>
      <c r="AA4" s="52" t="n">
        <v>0</v>
      </c>
      <c r="AB4" s="52" t="n">
        <v>8</v>
      </c>
      <c r="AC4" s="52">
        <f>W4-Y4</f>
        <v/>
      </c>
      <c r="AD4" s="53">
        <f>Y4/W4</f>
        <v/>
      </c>
      <c r="AE4" s="53">
        <f>Z4/X4</f>
        <v/>
      </c>
      <c r="AF4" s="53">
        <f>AA4/W4</f>
        <v/>
      </c>
      <c r="AG4" s="53">
        <f>AB4/X4</f>
        <v/>
      </c>
      <c r="AH4" s="53">
        <f>V4/U4</f>
        <v/>
      </c>
      <c r="AI4" s="23" t="n"/>
      <c r="AK4" s="2" t="inlineStr">
        <is>
          <t>2022: OCR  8.2 - 8.16</t>
        </is>
      </c>
      <c r="AL4" t="n">
        <v>6</v>
      </c>
      <c r="AM4" t="n">
        <v>37</v>
      </c>
      <c r="AO4" s="2" t="inlineStr">
        <is>
          <t>2022: OCR  8.2 - 8.16</t>
        </is>
      </c>
      <c r="AP4" t="n">
        <v>0</v>
      </c>
      <c r="AQ4" t="n">
        <v>6</v>
      </c>
      <c r="AV4" t="inlineStr">
        <is>
          <t>Amber</t>
        </is>
      </c>
    </row>
    <row r="5">
      <c r="B5" s="84" t="n"/>
      <c r="C5" s="86" t="n"/>
      <c r="D5" s="86" t="n"/>
      <c r="E5" s="86" t="n"/>
      <c r="F5" s="86" t="n"/>
      <c r="G5" s="86" t="n"/>
      <c r="H5" s="86" t="n"/>
      <c r="I5" s="86" t="n"/>
      <c r="J5" s="86" t="n"/>
      <c r="K5" s="86" t="n"/>
      <c r="L5" s="86" t="n"/>
      <c r="M5" s="86" t="n"/>
      <c r="N5" s="86" t="n"/>
      <c r="O5" s="86" t="n"/>
      <c r="P5" s="86" t="n"/>
      <c r="Q5" s="92" t="n"/>
      <c r="T5" s="31" t="inlineStr">
        <is>
          <t>2022: OCR 3/15 - 3/29</t>
        </is>
      </c>
      <c r="U5" s="52" t="n">
        <v>50</v>
      </c>
      <c r="V5" s="52">
        <f>U5-(AA5+AB5)</f>
        <v/>
      </c>
      <c r="W5" s="52" t="n">
        <v>10</v>
      </c>
      <c r="X5" s="52" t="n">
        <v>40</v>
      </c>
      <c r="Y5" s="52" t="n">
        <v>0</v>
      </c>
      <c r="Z5" s="52" t="n">
        <v>10</v>
      </c>
      <c r="AA5" s="52" t="n">
        <v>0</v>
      </c>
      <c r="AB5" s="52" t="n">
        <v>13</v>
      </c>
      <c r="AC5" s="52">
        <f>W5-Y5</f>
        <v/>
      </c>
      <c r="AD5" s="53">
        <f>Y5/W5</f>
        <v/>
      </c>
      <c r="AE5" s="53">
        <f>Z5/X5</f>
        <v/>
      </c>
      <c r="AF5" s="53">
        <f>AA5/W5</f>
        <v/>
      </c>
      <c r="AG5" s="53">
        <f>AB5/X5</f>
        <v/>
      </c>
      <c r="AH5" s="53">
        <f>V5/U5</f>
        <v/>
      </c>
      <c r="AI5" s="23" t="n"/>
      <c r="AK5" s="2" t="inlineStr">
        <is>
          <t>2022: CS 8.16 - 8.30</t>
        </is>
      </c>
      <c r="AL5" t="n">
        <v>15</v>
      </c>
      <c r="AM5" t="n">
        <v>35</v>
      </c>
      <c r="AO5" s="2" t="inlineStr">
        <is>
          <t>2022: CS 8.16 - 8.30</t>
        </is>
      </c>
      <c r="AP5" t="n">
        <v>0</v>
      </c>
      <c r="AQ5" t="n">
        <v>15</v>
      </c>
    </row>
    <row r="6" ht="15.75" customHeight="1">
      <c r="B6" s="85" t="n"/>
      <c r="C6" s="100" t="inlineStr">
        <is>
          <t>Project Name</t>
        </is>
      </c>
      <c r="D6" s="310" t="inlineStr">
        <is>
          <t>LendingTree</t>
        </is>
      </c>
      <c r="H6" s="310" t="n"/>
      <c r="I6" s="310" t="n"/>
      <c r="J6" s="88" t="n"/>
      <c r="K6" s="88" t="n"/>
      <c r="L6" s="307" t="inlineStr">
        <is>
          <t>Status Date</t>
        </is>
      </c>
      <c r="N6" s="312" t="n">
        <v>44874</v>
      </c>
      <c r="P6" s="87" t="n"/>
      <c r="Q6" s="93" t="n"/>
      <c r="T6" s="31" t="inlineStr">
        <is>
          <t>2022: OCR 3/29 - 4/12</t>
        </is>
      </c>
      <c r="U6" s="52" t="n">
        <v>44</v>
      </c>
      <c r="V6" s="52">
        <f>U6-(AA6+AB6)</f>
        <v/>
      </c>
      <c r="W6" s="52" t="n">
        <v>6</v>
      </c>
      <c r="X6" s="52" t="n">
        <v>34</v>
      </c>
      <c r="Y6" s="52" t="n">
        <v>2</v>
      </c>
      <c r="Z6" s="52" t="n">
        <v>8</v>
      </c>
      <c r="AA6" s="52" t="n">
        <v>0</v>
      </c>
      <c r="AB6" s="52" t="n">
        <v>17</v>
      </c>
      <c r="AC6" s="52">
        <f>W6-Y6</f>
        <v/>
      </c>
      <c r="AD6" s="53">
        <f>Y6/W6</f>
        <v/>
      </c>
      <c r="AE6" s="53">
        <f>Z6/X6</f>
        <v/>
      </c>
      <c r="AF6" s="53">
        <f>AA6/W6</f>
        <v/>
      </c>
      <c r="AG6" s="53">
        <f>AB6/X6</f>
        <v/>
      </c>
      <c r="AH6" s="53">
        <f>V6/U6</f>
        <v/>
      </c>
      <c r="AI6" s="23" t="n"/>
      <c r="AK6" s="2" t="inlineStr">
        <is>
          <t>2022: CS 8.30 - 9.13</t>
        </is>
      </c>
      <c r="AL6" t="n">
        <v>10</v>
      </c>
      <c r="AM6" t="n">
        <v>33</v>
      </c>
      <c r="AO6" s="2" t="inlineStr">
        <is>
          <t>2022: CS 8.30 - 9.13</t>
        </is>
      </c>
      <c r="AP6" t="n">
        <v>5</v>
      </c>
      <c r="AQ6" t="n">
        <v>5</v>
      </c>
    </row>
    <row r="7">
      <c r="B7" s="85" t="n"/>
      <c r="C7" s="100" t="inlineStr">
        <is>
          <t>Sub Project</t>
        </is>
      </c>
      <c r="D7" s="310" t="inlineStr">
        <is>
          <t>Pre-Prime</t>
        </is>
      </c>
      <c r="H7" s="101" t="n"/>
      <c r="I7" s="101" t="n"/>
      <c r="J7" s="89" t="n"/>
      <c r="K7" s="89" t="n"/>
      <c r="L7" s="90" t="n"/>
      <c r="M7" s="90" t="n"/>
      <c r="N7" s="90" t="n"/>
      <c r="O7" s="90" t="n"/>
      <c r="P7" s="87" t="n"/>
      <c r="Q7" s="93" t="n"/>
      <c r="T7" s="31" t="inlineStr">
        <is>
          <t>2022: OCR 4/12 - 4/26</t>
        </is>
      </c>
      <c r="U7" s="52" t="n">
        <v>54</v>
      </c>
      <c r="V7" s="52">
        <f>U7-(AA7+AB7)</f>
        <v/>
      </c>
      <c r="W7" s="52" t="n">
        <v>5</v>
      </c>
      <c r="X7" s="52" t="n">
        <v>49</v>
      </c>
      <c r="Y7" s="52" t="n">
        <v>0</v>
      </c>
      <c r="Z7" s="52" t="n">
        <v>9</v>
      </c>
      <c r="AA7" s="52" t="n">
        <v>0</v>
      </c>
      <c r="AB7" s="52" t="n">
        <v>9</v>
      </c>
      <c r="AC7" s="52">
        <f>W7-Y7</f>
        <v/>
      </c>
      <c r="AD7" s="53">
        <f>Y7/W7</f>
        <v/>
      </c>
      <c r="AE7" s="53">
        <f>Z7/X7</f>
        <v/>
      </c>
      <c r="AF7" s="53">
        <f>AA7/W7</f>
        <v/>
      </c>
      <c r="AG7" s="53">
        <f>AB7/X7</f>
        <v/>
      </c>
      <c r="AH7" s="53">
        <f>V7/U7</f>
        <v/>
      </c>
      <c r="AI7" s="23" t="n"/>
      <c r="AK7" s="2" t="inlineStr">
        <is>
          <t>2022: CS  9.13 - 9.27</t>
        </is>
      </c>
      <c r="AL7" t="n">
        <v>11</v>
      </c>
      <c r="AM7" t="n">
        <v>28</v>
      </c>
      <c r="AO7" s="2" t="inlineStr">
        <is>
          <t>2022: CS  9.13 - 9.27</t>
        </is>
      </c>
      <c r="AP7" t="n">
        <v>0</v>
      </c>
      <c r="AQ7" t="n">
        <v>11</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1" t="inlineStr">
        <is>
          <t>2022: OCR 4/26 - 5/10</t>
        </is>
      </c>
      <c r="U8" s="52" t="n">
        <v>54</v>
      </c>
      <c r="V8" s="52">
        <f>U8-(AA8+AB8)</f>
        <v/>
      </c>
      <c r="W8" s="52" t="n">
        <v>7</v>
      </c>
      <c r="X8" s="52" t="n">
        <v>47</v>
      </c>
      <c r="Y8" s="52" t="n">
        <v>0</v>
      </c>
      <c r="Z8" s="52" t="n">
        <v>4</v>
      </c>
      <c r="AA8" s="52" t="n">
        <v>5</v>
      </c>
      <c r="AB8" s="52" t="n">
        <v>14</v>
      </c>
      <c r="AC8" s="52">
        <f>W8-Y8</f>
        <v/>
      </c>
      <c r="AD8" s="53">
        <f>Y8/W8</f>
        <v/>
      </c>
      <c r="AE8" s="53">
        <f>Z8/X8</f>
        <v/>
      </c>
      <c r="AF8" s="53">
        <f>AA8/W8</f>
        <v/>
      </c>
      <c r="AG8" s="53">
        <f>AB8/X8</f>
        <v/>
      </c>
      <c r="AH8" s="53">
        <f>V8/U8</f>
        <v/>
      </c>
      <c r="AI8" s="23" t="n"/>
      <c r="AK8" s="2" t="inlineStr">
        <is>
          <t>Grand Total</t>
        </is>
      </c>
      <c r="AL8" t="n">
        <v>57</v>
      </c>
      <c r="AM8" t="n">
        <v>179</v>
      </c>
      <c r="AO8" s="2" t="inlineStr">
        <is>
          <t>Grand Total</t>
        </is>
      </c>
      <c r="AP8" t="n">
        <v>5</v>
      </c>
      <c r="AQ8" t="n">
        <v>52</v>
      </c>
    </row>
    <row r="9">
      <c r="B9" s="85" t="n"/>
      <c r="C9" s="100" t="inlineStr">
        <is>
          <t>Project Manager/Lead</t>
        </is>
      </c>
      <c r="D9" s="310" t="inlineStr">
        <is>
          <t>Disha</t>
        </is>
      </c>
      <c r="E9" s="310" t="n"/>
      <c r="F9" s="310" t="n"/>
      <c r="G9" s="310" t="n"/>
      <c r="H9" s="87" t="n"/>
      <c r="I9" s="87" t="n"/>
      <c r="J9" s="87" t="n"/>
      <c r="K9" s="87" t="n"/>
      <c r="L9" s="87" t="n"/>
      <c r="M9" s="87" t="n"/>
      <c r="N9" s="87" t="n"/>
      <c r="O9" s="87" t="n"/>
      <c r="P9" s="87" t="n"/>
      <c r="Q9" s="93" t="n"/>
      <c r="T9" s="31" t="inlineStr">
        <is>
          <t>2022: OCR 5/10 - 5/24</t>
        </is>
      </c>
      <c r="U9" s="52" t="n">
        <v>48</v>
      </c>
      <c r="V9" s="52">
        <f>U9-(AA9+AB9)</f>
        <v/>
      </c>
      <c r="W9" s="52" t="n">
        <v>9</v>
      </c>
      <c r="X9" s="52" t="n">
        <v>39</v>
      </c>
      <c r="Y9" s="52" t="n">
        <v>0</v>
      </c>
      <c r="Z9" s="52" t="n">
        <v>4</v>
      </c>
      <c r="AA9" s="52" t="n">
        <v>3</v>
      </c>
      <c r="AB9" s="52" t="n">
        <v>14</v>
      </c>
      <c r="AC9" s="52">
        <f>W9-Y9</f>
        <v/>
      </c>
      <c r="AD9" s="53">
        <f>Y9/W9</f>
        <v/>
      </c>
      <c r="AE9" s="53">
        <f>Z9/X9</f>
        <v/>
      </c>
      <c r="AF9" s="53">
        <f>AA9/W9</f>
        <v/>
      </c>
      <c r="AG9" s="53">
        <f>AB9/X9</f>
        <v/>
      </c>
      <c r="AH9" s="53">
        <f>V9/U9</f>
        <v/>
      </c>
      <c r="AI9" s="23"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1" t="inlineStr">
        <is>
          <t>2022: OCR 5.24 - 6.7</t>
        </is>
      </c>
      <c r="U10" s="52" t="n">
        <v>37</v>
      </c>
      <c r="V10" s="52">
        <f>U10-(AA10+AB10)</f>
        <v/>
      </c>
      <c r="W10" s="52" t="n">
        <v>3</v>
      </c>
      <c r="X10" s="52" t="n">
        <v>34</v>
      </c>
      <c r="Y10" s="52" t="n">
        <v>0</v>
      </c>
      <c r="Z10" s="52" t="n">
        <v>2</v>
      </c>
      <c r="AA10" s="52" t="n">
        <v>0</v>
      </c>
      <c r="AB10" s="52" t="n">
        <v>8</v>
      </c>
      <c r="AC10" s="52">
        <f>W10-Y10</f>
        <v/>
      </c>
      <c r="AD10" s="53">
        <f>Y10/W10</f>
        <v/>
      </c>
      <c r="AE10" s="53">
        <f>Z10/X10</f>
        <v/>
      </c>
      <c r="AF10" s="53">
        <f>AA10/W10</f>
        <v/>
      </c>
      <c r="AG10" s="53">
        <f>AB10/X10</f>
        <v/>
      </c>
      <c r="AH10" s="53">
        <f>V10/U10</f>
        <v/>
      </c>
      <c r="AI10" s="23" t="n"/>
      <c r="AO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T11" s="31" t="inlineStr">
        <is>
          <t>2022: OCR 6.7 - 6.21</t>
        </is>
      </c>
      <c r="U11" s="52" t="n">
        <v>38</v>
      </c>
      <c r="V11" s="52">
        <f>U11-(AA11+AB11)</f>
        <v/>
      </c>
      <c r="W11" s="52" t="n">
        <v>8</v>
      </c>
      <c r="X11" s="52" t="n">
        <v>30</v>
      </c>
      <c r="Y11" s="52" t="n">
        <v>0</v>
      </c>
      <c r="Z11" s="52" t="n">
        <v>2</v>
      </c>
      <c r="AA11" s="52" t="n">
        <v>2</v>
      </c>
      <c r="AB11" s="52" t="n">
        <v>9</v>
      </c>
      <c r="AC11" s="52">
        <f>W11-Y11</f>
        <v/>
      </c>
      <c r="AD11" s="53">
        <f>Y11/W11</f>
        <v/>
      </c>
      <c r="AE11" s="53">
        <f>Z11/X11</f>
        <v/>
      </c>
      <c r="AF11" s="53">
        <f>AA11/W11</f>
        <v/>
      </c>
      <c r="AG11" s="53">
        <f>AB11/X11</f>
        <v/>
      </c>
      <c r="AH11" s="53">
        <f>V11/U11</f>
        <v/>
      </c>
      <c r="AI11" s="23" t="n"/>
      <c r="AO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1" t="inlineStr">
        <is>
          <t>2022: OCR 6.21 - 7.5</t>
        </is>
      </c>
      <c r="U12" s="52" t="n">
        <v>37</v>
      </c>
      <c r="V12" s="52">
        <f>U12-(AA12+AB12)</f>
        <v/>
      </c>
      <c r="W12" s="52" t="n">
        <v>10</v>
      </c>
      <c r="X12" s="52" t="n">
        <v>27</v>
      </c>
      <c r="Y12" s="52" t="n">
        <v>0</v>
      </c>
      <c r="Z12" s="52" t="n">
        <v>3</v>
      </c>
      <c r="AA12" s="52" t="n">
        <v>5</v>
      </c>
      <c r="AB12" s="52" t="n">
        <v>3</v>
      </c>
      <c r="AC12" s="52">
        <f>W12-Y12</f>
        <v/>
      </c>
      <c r="AD12" s="53">
        <f>Y12/W12</f>
        <v/>
      </c>
      <c r="AE12" s="53">
        <f>Z12/X12</f>
        <v/>
      </c>
      <c r="AF12" s="53">
        <f>AA12/W12</f>
        <v/>
      </c>
      <c r="AG12" s="53">
        <f>AB12/X12</f>
        <v/>
      </c>
      <c r="AH12" s="53">
        <f>V12/U12</f>
        <v/>
      </c>
      <c r="AI12" s="23" t="n"/>
      <c r="AK12" s="27" t="inlineStr">
        <is>
          <t>Sprint</t>
        </is>
      </c>
      <c r="AL12" s="28" t="inlineStr">
        <is>
          <t>V2</t>
        </is>
      </c>
      <c r="AM12" s="29" t="inlineStr">
        <is>
          <t>LT</t>
        </is>
      </c>
      <c r="AO12" s="69" t="inlineStr">
        <is>
          <t>QA Passed</t>
        </is>
      </c>
      <c r="AP12" s="83">
        <f>GETPIVOTDATA("Sum of QA Passed",$AO$1)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67" t="inlineStr">
        <is>
          <t>2022: OCR 7.5 - 7.19</t>
        </is>
      </c>
      <c r="U13" s="52" t="n">
        <v>32</v>
      </c>
      <c r="V13" s="52">
        <f>U13-(AA13+AB13)</f>
        <v/>
      </c>
      <c r="W13" s="52" t="n">
        <v>8</v>
      </c>
      <c r="X13" s="52" t="n">
        <v>24</v>
      </c>
      <c r="Y13" s="52" t="n">
        <v>0</v>
      </c>
      <c r="Z13" s="52" t="n">
        <v>0</v>
      </c>
      <c r="AA13" s="52" t="n">
        <v>2</v>
      </c>
      <c r="AB13" s="52" t="n">
        <v>6</v>
      </c>
      <c r="AC13" s="52">
        <f>W13-Y13</f>
        <v/>
      </c>
      <c r="AD13" s="53">
        <f>Y13/W13</f>
        <v/>
      </c>
      <c r="AE13" s="53">
        <f>Z13/X13</f>
        <v/>
      </c>
      <c r="AF13" s="53">
        <f>AA13/W13</f>
        <v/>
      </c>
      <c r="AG13" s="53">
        <f>AB13/X13</f>
        <v/>
      </c>
      <c r="AH13" s="53">
        <f>V13/U13</f>
        <v/>
      </c>
      <c r="AI13" s="23" t="n"/>
      <c r="AK13" s="9">
        <f>AK2</f>
        <v/>
      </c>
      <c r="AL13">
        <f>AL2</f>
        <v/>
      </c>
      <c r="AM13" s="10">
        <f>AM2</f>
        <v/>
      </c>
      <c r="AO13" s="69" t="inlineStr">
        <is>
          <t>Rework</t>
        </is>
      </c>
      <c r="AP13" s="83">
        <f>GETPIVOTDATA("Sum of Rework",$AO$1)</f>
        <v/>
      </c>
    </row>
    <row r="14">
      <c r="B14" s="84" t="n"/>
      <c r="C14" s="100" t="inlineStr">
        <is>
          <t>On-site team</t>
        </is>
      </c>
      <c r="D14" s="309" t="inlineStr">
        <is>
          <t>Allocated</t>
        </is>
      </c>
      <c r="E14" s="316" t="n"/>
      <c r="F14" s="102" t="n">
        <v>8</v>
      </c>
      <c r="G14" s="86" t="n"/>
      <c r="H14" s="86" t="n"/>
      <c r="I14" s="86" t="n"/>
      <c r="J14" s="86" t="n"/>
      <c r="K14" s="86" t="n"/>
      <c r="L14" s="86" t="n"/>
      <c r="M14" s="86" t="n"/>
      <c r="N14" s="86" t="n"/>
      <c r="O14" s="86" t="n"/>
      <c r="P14" s="86" t="n"/>
      <c r="Q14" s="92" t="n"/>
      <c r="T14" s="67" t="inlineStr">
        <is>
          <t>2022: OCR 7.19 - 8.2</t>
        </is>
      </c>
      <c r="U14" s="52" t="n">
        <v>29</v>
      </c>
      <c r="V14" s="52">
        <f>U14-(AA14+AB14)</f>
        <v/>
      </c>
      <c r="W14" s="68" t="n">
        <v>7</v>
      </c>
      <c r="X14" s="68" t="n">
        <v>22</v>
      </c>
      <c r="Y14" s="52" t="n">
        <v>0</v>
      </c>
      <c r="Z14" s="52" t="n">
        <v>0</v>
      </c>
      <c r="AA14" s="52" t="n">
        <v>0</v>
      </c>
      <c r="AB14" s="52" t="n">
        <v>8</v>
      </c>
      <c r="AC14" s="52">
        <f>W14-Y14</f>
        <v/>
      </c>
      <c r="AD14" s="53">
        <f>Y14/W14</f>
        <v/>
      </c>
      <c r="AE14" s="53">
        <f>Z14/X14</f>
        <v/>
      </c>
      <c r="AF14" s="53">
        <f>AA14/W14</f>
        <v/>
      </c>
      <c r="AG14" s="53">
        <f>AB14/X14</f>
        <v/>
      </c>
      <c r="AH14" s="53">
        <f>V14/U14</f>
        <v/>
      </c>
      <c r="AK14" s="9">
        <f>AK3</f>
        <v/>
      </c>
      <c r="AL14">
        <f>AL3</f>
        <v/>
      </c>
      <c r="AM14" s="10">
        <f>AM3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67" t="inlineStr">
        <is>
          <t>2022: OCR  8.2 - 8.16</t>
        </is>
      </c>
      <c r="U15" s="52" t="n">
        <v>43</v>
      </c>
      <c r="V15" s="52">
        <f>U15-(AA15+AB15)</f>
        <v/>
      </c>
      <c r="W15" s="68" t="n">
        <v>6</v>
      </c>
      <c r="X15" s="68" t="n">
        <v>37</v>
      </c>
      <c r="Y15" s="52" t="n">
        <v>0</v>
      </c>
      <c r="Z15" s="52" t="n">
        <v>3</v>
      </c>
      <c r="AA15" s="52" t="n">
        <v>5</v>
      </c>
      <c r="AB15" s="52" t="n">
        <v>20</v>
      </c>
      <c r="AC15" s="52">
        <f>W15-Y15</f>
        <v/>
      </c>
      <c r="AD15" s="53">
        <f>Y15/W15</f>
        <v/>
      </c>
      <c r="AE15" s="53">
        <f>Z15/X15</f>
        <v/>
      </c>
      <c r="AF15" s="53">
        <f>AA15/W15</f>
        <v/>
      </c>
      <c r="AG15" s="53">
        <f>AB15/X15</f>
        <v/>
      </c>
      <c r="AH15" s="53">
        <f>V15/U15</f>
        <v/>
      </c>
      <c r="AK15" s="9">
        <f>AK4</f>
        <v/>
      </c>
      <c r="AL15">
        <f>AL4</f>
        <v/>
      </c>
      <c r="AM15" s="10">
        <f>AM4</f>
        <v/>
      </c>
    </row>
    <row r="16">
      <c r="T16" s="67" t="inlineStr">
        <is>
          <t>2022: CS 8.16 - 8.30</t>
        </is>
      </c>
      <c r="U16" s="52" t="n">
        <v>50</v>
      </c>
      <c r="V16" s="52">
        <f>U16-(AA16+AB16)</f>
        <v/>
      </c>
      <c r="W16" s="68" t="n">
        <v>15</v>
      </c>
      <c r="X16" s="68" t="n">
        <v>35</v>
      </c>
      <c r="Y16" s="68" t="n">
        <v>0</v>
      </c>
      <c r="Z16" s="78" t="n">
        <v>5</v>
      </c>
      <c r="AA16" s="52" t="n">
        <v>10</v>
      </c>
      <c r="AB16" s="52" t="n">
        <v>21</v>
      </c>
      <c r="AC16" s="52">
        <f>W16-Y16</f>
        <v/>
      </c>
      <c r="AD16" s="53">
        <f>Y16/W16</f>
        <v/>
      </c>
      <c r="AE16" s="53">
        <f>Z16/X16</f>
        <v/>
      </c>
      <c r="AF16" s="53">
        <f>AA16/W16</f>
        <v/>
      </c>
      <c r="AG16" s="53">
        <f>AB16/X16</f>
        <v/>
      </c>
      <c r="AH16" s="53">
        <f>V16/U16</f>
        <v/>
      </c>
      <c r="AK16" s="9">
        <f>AK5</f>
        <v/>
      </c>
      <c r="AL16">
        <f>AL5</f>
        <v/>
      </c>
      <c r="AM16" s="10">
        <f>AM5</f>
        <v/>
      </c>
    </row>
    <row r="17">
      <c r="T17" s="67" t="inlineStr">
        <is>
          <t>2022: CS 8.30 - 9.13</t>
        </is>
      </c>
      <c r="U17" s="52" t="n">
        <v>43</v>
      </c>
      <c r="V17" s="52">
        <f>U17-(AA17+AB17)</f>
        <v/>
      </c>
      <c r="W17" s="68" t="n">
        <v>10</v>
      </c>
      <c r="X17" s="68" t="n">
        <v>33</v>
      </c>
      <c r="Y17" s="68" t="n">
        <v>5</v>
      </c>
      <c r="Z17" s="78" t="n">
        <v>4</v>
      </c>
      <c r="AA17" s="52" t="n">
        <v>0</v>
      </c>
      <c r="AB17" s="52" t="n">
        <v>20</v>
      </c>
      <c r="AC17" s="52">
        <f>W17-Y17</f>
        <v/>
      </c>
      <c r="AD17" s="53">
        <f>Y17/W17</f>
        <v/>
      </c>
      <c r="AE17" s="53">
        <f>Z17/X17</f>
        <v/>
      </c>
      <c r="AF17" s="53">
        <f>AA17/W17</f>
        <v/>
      </c>
      <c r="AG17" s="53">
        <f>AB17/X17</f>
        <v/>
      </c>
      <c r="AH17" s="53">
        <f>V17/U17</f>
        <v/>
      </c>
      <c r="AK17" s="9">
        <f>AK6</f>
        <v/>
      </c>
      <c r="AL17">
        <f>AL6</f>
        <v/>
      </c>
      <c r="AM17" s="10">
        <f>AM6</f>
        <v/>
      </c>
    </row>
    <row r="18">
      <c r="T18" s="67" t="inlineStr">
        <is>
          <t>2022: CS  9.13 - 9.27</t>
        </is>
      </c>
      <c r="U18" s="52" t="n">
        <v>39</v>
      </c>
      <c r="V18" s="52">
        <f>U18-(AA18+AB18)</f>
        <v/>
      </c>
      <c r="W18" s="52" t="n">
        <v>11</v>
      </c>
      <c r="X18" s="52" t="n">
        <v>28</v>
      </c>
      <c r="Y18" s="52" t="n">
        <v>0</v>
      </c>
      <c r="Z18" s="52" t="n">
        <v>4</v>
      </c>
      <c r="AA18" s="52" t="n">
        <v>8</v>
      </c>
      <c r="AB18" s="52" t="n">
        <v>15</v>
      </c>
      <c r="AC18" s="52">
        <f>W18-Y18</f>
        <v/>
      </c>
      <c r="AD18" s="53">
        <f>Y18/W18</f>
        <v/>
      </c>
      <c r="AE18" s="53">
        <f>Z18/X18</f>
        <v/>
      </c>
      <c r="AF18" s="53">
        <f>AA18/W18</f>
        <v/>
      </c>
      <c r="AG18" s="53">
        <f>AB18/X18</f>
        <v/>
      </c>
      <c r="AH18" s="53">
        <f>V18/U18</f>
        <v/>
      </c>
      <c r="AK18" s="9">
        <f>AK7</f>
        <v/>
      </c>
      <c r="AL18">
        <f>AL7</f>
        <v/>
      </c>
      <c r="AM18" s="10">
        <f>AM7</f>
        <v/>
      </c>
    </row>
    <row r="19" ht="15.75" customHeight="1" thickBot="1">
      <c r="T19" s="31" t="inlineStr">
        <is>
          <t>2022: CS  9.27 - 10.11</t>
        </is>
      </c>
      <c r="U19" s="52" t="n">
        <v>40</v>
      </c>
      <c r="V19" s="52">
        <f>U19-(AA19+AB19)</f>
        <v/>
      </c>
      <c r="W19" s="52" t="n">
        <v>15</v>
      </c>
      <c r="X19" s="52" t="n">
        <v>25</v>
      </c>
      <c r="Y19" s="52" t="n">
        <v>0</v>
      </c>
      <c r="Z19" s="52" t="n">
        <v>11</v>
      </c>
      <c r="AA19" s="52" t="n">
        <v>0</v>
      </c>
      <c r="AB19" s="52" t="n">
        <v>15</v>
      </c>
      <c r="AC19" s="52">
        <f>W19-Y19</f>
        <v/>
      </c>
      <c r="AD19" s="53" t="n"/>
      <c r="AE19" s="53" t="n"/>
      <c r="AF19" s="53" t="n"/>
      <c r="AG19" s="53" t="n"/>
      <c r="AH19" s="53" t="n"/>
      <c r="AK19" s="11">
        <f>AK8</f>
        <v/>
      </c>
      <c r="AL19" s="12">
        <f>AL8</f>
        <v/>
      </c>
      <c r="AM19" s="13">
        <f>AM8</f>
        <v/>
      </c>
    </row>
    <row r="20">
      <c r="AD20" s="53" t="n"/>
      <c r="AE20" s="53" t="n"/>
      <c r="AF20" s="53" t="n"/>
      <c r="AG20" s="53" t="n"/>
      <c r="AH20" s="53" t="n"/>
    </row>
    <row r="21">
      <c r="AD21" s="53" t="n"/>
      <c r="AE21" s="53" t="n"/>
      <c r="AF21" s="53" t="n"/>
      <c r="AG21" s="53" t="n"/>
      <c r="AH21" s="53" t="n"/>
    </row>
    <row r="22">
      <c r="AD22" s="53" t="n"/>
      <c r="AE22" s="53" t="n"/>
      <c r="AF22" s="53" t="n"/>
      <c r="AG22" s="53" t="n"/>
      <c r="AH22" s="53" t="n"/>
      <c r="AK22" s="4" t="inlineStr">
        <is>
          <t>Row Labels</t>
        </is>
      </c>
      <c r="AL22" t="inlineStr">
        <is>
          <t>Sum of V2 Reopen Percentage</t>
        </is>
      </c>
      <c r="AM22" t="inlineStr">
        <is>
          <t>Sum of LT Reopen Percentage</t>
        </is>
      </c>
      <c r="AO22" s="4" t="inlineStr">
        <is>
          <t>Row Labels</t>
        </is>
      </c>
      <c r="AP22" t="inlineStr">
        <is>
          <t>Sum of V2 Carryover Percentage</t>
        </is>
      </c>
      <c r="AQ22" t="inlineStr">
        <is>
          <t>Sum of LT Carryover Percentage</t>
        </is>
      </c>
    </row>
    <row r="23">
      <c r="AD23" s="53" t="n"/>
      <c r="AE23" s="53" t="n"/>
      <c r="AF23" s="53" t="n"/>
      <c r="AG23" s="53" t="n"/>
      <c r="AH23" s="53" t="n"/>
      <c r="AK23" s="2" t="inlineStr">
        <is>
          <t>2022: OCR 7.5 - 7.19</t>
        </is>
      </c>
      <c r="AL23" t="n">
        <v>0</v>
      </c>
      <c r="AM23" t="n">
        <v>0</v>
      </c>
      <c r="AO23" s="2" t="inlineStr">
        <is>
          <t>2022: OCR 7.5 - 7.19</t>
        </is>
      </c>
      <c r="AP23" t="n">
        <v>0.25</v>
      </c>
      <c r="AQ23" t="n">
        <v>0.25</v>
      </c>
    </row>
    <row r="24">
      <c r="AD24" s="53" t="n"/>
      <c r="AE24" s="53" t="n"/>
      <c r="AF24" s="53" t="n"/>
      <c r="AG24" s="53" t="n"/>
      <c r="AH24" s="53" t="n"/>
      <c r="AK24" s="2" t="inlineStr">
        <is>
          <t>2022: OCR 7.19 - 8.2</t>
        </is>
      </c>
      <c r="AL24" t="n">
        <v>0</v>
      </c>
      <c r="AM24" t="n">
        <v>0</v>
      </c>
      <c r="AO24" s="2" t="inlineStr">
        <is>
          <t>2022: OCR 7.19 - 8.2</t>
        </is>
      </c>
      <c r="AP24" t="n">
        <v>0</v>
      </c>
      <c r="AQ24" t="n">
        <v>0.3636363636363636</v>
      </c>
    </row>
    <row r="25">
      <c r="AD25" s="53" t="n"/>
      <c r="AE25" s="53" t="n"/>
      <c r="AF25" s="53" t="n"/>
      <c r="AG25" s="53" t="n"/>
      <c r="AH25" s="53" t="n"/>
      <c r="AK25" s="2" t="inlineStr">
        <is>
          <t>2022: OCR  8.2 - 8.16</t>
        </is>
      </c>
      <c r="AL25" t="n">
        <v>0</v>
      </c>
      <c r="AM25" t="n">
        <v>0.08108108108108109</v>
      </c>
      <c r="AO25" s="2" t="inlineStr">
        <is>
          <t>2022: OCR  8.2 - 8.16</t>
        </is>
      </c>
      <c r="AP25" t="n">
        <v>0.8333333333333334</v>
      </c>
      <c r="AQ25" t="n">
        <v>0.5405405405405406</v>
      </c>
    </row>
    <row r="26">
      <c r="AD26" s="53" t="n"/>
      <c r="AE26" s="53" t="n"/>
      <c r="AF26" s="53" t="n"/>
      <c r="AG26" s="53" t="n"/>
      <c r="AH26" s="53" t="n"/>
      <c r="AK26" s="2" t="inlineStr">
        <is>
          <t>2022: CS 8.16 - 8.30</t>
        </is>
      </c>
      <c r="AL26" t="n">
        <v>0</v>
      </c>
      <c r="AM26" t="n">
        <v>0.1428571428571428</v>
      </c>
      <c r="AO26" s="2" t="inlineStr">
        <is>
          <t>2022: CS 8.16 - 8.30</t>
        </is>
      </c>
      <c r="AP26" t="n">
        <v>0.6666666666666666</v>
      </c>
      <c r="AQ26" t="n">
        <v>0.6</v>
      </c>
    </row>
    <row r="27">
      <c r="AD27" s="53" t="n"/>
      <c r="AE27" s="53" t="n"/>
      <c r="AF27" s="53" t="n"/>
      <c r="AG27" s="53" t="n"/>
      <c r="AH27" s="53" t="n"/>
      <c r="AK27" s="2" t="inlineStr">
        <is>
          <t>2022: CS 8.30 - 9.13</t>
        </is>
      </c>
      <c r="AL27" t="n">
        <v>0.5</v>
      </c>
      <c r="AM27" t="n">
        <v>0.1212121212121212</v>
      </c>
      <c r="AO27" s="2" t="inlineStr">
        <is>
          <t>2022: CS 8.30 - 9.13</t>
        </is>
      </c>
      <c r="AP27" t="n">
        <v>0</v>
      </c>
      <c r="AQ27" t="n">
        <v>0.6060606060606061</v>
      </c>
    </row>
    <row r="28">
      <c r="AD28" s="53" t="n"/>
      <c r="AE28" s="53" t="n"/>
      <c r="AF28" s="53" t="n"/>
      <c r="AG28" s="53" t="n"/>
      <c r="AH28" s="53" t="n"/>
      <c r="AK28" s="2" t="inlineStr">
        <is>
          <t>2022: CS  9.13 - 9.27</t>
        </is>
      </c>
      <c r="AL28" t="n">
        <v>0</v>
      </c>
      <c r="AM28" t="n">
        <v>0.1428571428571428</v>
      </c>
      <c r="AO28" s="2" t="inlineStr">
        <is>
          <t>2022: CS  9.13 - 9.27</t>
        </is>
      </c>
      <c r="AP28" t="n">
        <v>0.7272727272727273</v>
      </c>
      <c r="AQ28" t="n">
        <v>0.5357142857142857</v>
      </c>
    </row>
    <row r="29" ht="15.75" customHeight="1">
      <c r="AD29" s="53" t="n"/>
      <c r="AE29" s="53" t="n"/>
      <c r="AF29" s="53" t="n"/>
      <c r="AG29" s="53" t="n"/>
      <c r="AH29" s="53" t="n"/>
      <c r="AK29" s="2" t="inlineStr">
        <is>
          <t>Grand Total</t>
        </is>
      </c>
      <c r="AL29" t="n">
        <v>0.5</v>
      </c>
      <c r="AM29" t="n">
        <v>0.488007488007488</v>
      </c>
      <c r="AO29" s="2" t="inlineStr">
        <is>
          <t>Grand Total</t>
        </is>
      </c>
      <c r="AP29" t="n">
        <v>2.477272727272728</v>
      </c>
      <c r="AQ29" t="n">
        <v>2.895951795951796</v>
      </c>
    </row>
    <row r="30" ht="17.25" customHeight="1">
      <c r="T30" s="134" t="n"/>
      <c r="AD30" s="53" t="n"/>
      <c r="AE30" s="53" t="n"/>
      <c r="AF30" s="53" t="n"/>
      <c r="AG30" s="53" t="n"/>
      <c r="AH30" s="53" t="n"/>
    </row>
    <row r="31">
      <c r="AD31" s="53" t="n"/>
      <c r="AE31" s="53" t="n"/>
      <c r="AF31" s="53" t="n"/>
      <c r="AG31" s="53" t="n"/>
      <c r="AH31" s="53" t="n"/>
    </row>
    <row r="32">
      <c r="AD32" s="53" t="n"/>
      <c r="AE32" s="53" t="n"/>
      <c r="AF32" s="53" t="n"/>
      <c r="AG32" s="53" t="n"/>
      <c r="AH32" s="53" t="n"/>
      <c r="AK32" s="14" t="inlineStr">
        <is>
          <t>Sprint</t>
        </is>
      </c>
      <c r="AL32" s="15" t="inlineStr">
        <is>
          <t>V2</t>
        </is>
      </c>
      <c r="AM32" s="16" t="inlineStr">
        <is>
          <t>LT</t>
        </is>
      </c>
      <c r="AO32" s="14" t="inlineStr">
        <is>
          <t>Sprint</t>
        </is>
      </c>
      <c r="AP32" s="15" t="inlineStr">
        <is>
          <t>V2</t>
        </is>
      </c>
      <c r="AQ32" s="16" t="inlineStr">
        <is>
          <t>LT</t>
        </is>
      </c>
    </row>
    <row r="33">
      <c r="AD33" s="53" t="n"/>
      <c r="AE33" s="53" t="n"/>
      <c r="AF33" s="53" t="n"/>
      <c r="AG33" s="53" t="n"/>
      <c r="AH33" s="53" t="n"/>
      <c r="AK33" s="17">
        <f>AK23</f>
        <v/>
      </c>
      <c r="AL33" s="23">
        <f>AL23</f>
        <v/>
      </c>
      <c r="AM33" s="24">
        <f>AM23</f>
        <v/>
      </c>
      <c r="AO33" s="17">
        <f>AO23</f>
        <v/>
      </c>
      <c r="AP33" s="23">
        <f>AP23</f>
        <v/>
      </c>
      <c r="AQ33" s="24">
        <f>AQ23</f>
        <v/>
      </c>
    </row>
    <row r="34">
      <c r="AD34" s="53" t="n"/>
      <c r="AE34" s="53" t="n"/>
      <c r="AF34" s="53" t="n"/>
      <c r="AG34" s="53" t="n"/>
      <c r="AH34" s="53" t="n"/>
      <c r="AK34" s="17">
        <f>AK24</f>
        <v/>
      </c>
      <c r="AL34" s="23">
        <f>AL24</f>
        <v/>
      </c>
      <c r="AM34" s="24">
        <f>AM24</f>
        <v/>
      </c>
      <c r="AO34" s="17">
        <f>AO24</f>
        <v/>
      </c>
      <c r="AP34" s="23">
        <f>AP24</f>
        <v/>
      </c>
      <c r="AQ34" s="24">
        <f>AQ24</f>
        <v/>
      </c>
    </row>
    <row r="35">
      <c r="AD35" s="53" t="n"/>
      <c r="AE35" s="53" t="n"/>
      <c r="AF35" s="53" t="n"/>
      <c r="AG35" s="53" t="n"/>
      <c r="AH35" s="53" t="n"/>
      <c r="AK35" s="17">
        <f>AK25</f>
        <v/>
      </c>
      <c r="AL35" s="23">
        <f>AL25</f>
        <v/>
      </c>
      <c r="AM35" s="24">
        <f>AM25</f>
        <v/>
      </c>
      <c r="AO35" s="17">
        <f>AO25</f>
        <v/>
      </c>
      <c r="AP35" s="23">
        <f>AP25</f>
        <v/>
      </c>
      <c r="AQ35" s="24">
        <f>AQ25</f>
        <v/>
      </c>
    </row>
    <row r="36">
      <c r="AD36" s="53" t="n"/>
      <c r="AE36" s="53" t="n"/>
      <c r="AF36" s="53" t="n"/>
      <c r="AG36" s="53" t="n"/>
      <c r="AH36" s="53" t="n"/>
      <c r="AK36" s="17">
        <f>AK26</f>
        <v/>
      </c>
      <c r="AL36" s="23">
        <f>AL26</f>
        <v/>
      </c>
      <c r="AM36" s="24">
        <f>AM26</f>
        <v/>
      </c>
      <c r="AO36" s="17">
        <f>AO26</f>
        <v/>
      </c>
      <c r="AP36" s="23">
        <f>AP26</f>
        <v/>
      </c>
      <c r="AQ36" s="24">
        <f>AQ26</f>
        <v/>
      </c>
    </row>
    <row r="37">
      <c r="AD37" s="53" t="n"/>
      <c r="AE37" s="53" t="n"/>
      <c r="AF37" s="53" t="n"/>
      <c r="AG37" s="53" t="n"/>
      <c r="AH37" s="53" t="n"/>
      <c r="AK37" s="17">
        <f>AK27</f>
        <v/>
      </c>
      <c r="AL37" s="23">
        <f>AL27</f>
        <v/>
      </c>
      <c r="AM37" s="24">
        <f>AM27</f>
        <v/>
      </c>
      <c r="AO37" s="17">
        <f>AO27</f>
        <v/>
      </c>
      <c r="AP37" s="23">
        <f>AP27</f>
        <v/>
      </c>
      <c r="AQ37" s="24">
        <f>AQ27</f>
        <v/>
      </c>
    </row>
    <row r="38">
      <c r="AD38" s="53" t="n"/>
      <c r="AE38" s="53" t="n"/>
      <c r="AF38" s="53" t="n"/>
      <c r="AG38" s="53" t="n"/>
      <c r="AH38" s="53" t="n"/>
      <c r="AK38" s="17">
        <f>AK28</f>
        <v/>
      </c>
      <c r="AL38" s="23">
        <f>AL28</f>
        <v/>
      </c>
      <c r="AM38" s="24">
        <f>AM28</f>
        <v/>
      </c>
      <c r="AO38" s="17">
        <f>AO28</f>
        <v/>
      </c>
      <c r="AP38" s="23">
        <f>AP28</f>
        <v/>
      </c>
      <c r="AQ38" s="24">
        <f>AQ28</f>
        <v/>
      </c>
    </row>
    <row r="39">
      <c r="T39" s="140" t="n"/>
      <c r="AD39" s="53" t="n"/>
      <c r="AE39" s="53" t="n"/>
      <c r="AF39" s="53" t="n"/>
      <c r="AG39" s="53" t="n"/>
      <c r="AH39" s="53" t="n"/>
      <c r="AK39" s="18">
        <f>AK29</f>
        <v/>
      </c>
      <c r="AL39" s="25">
        <f>AL29</f>
        <v/>
      </c>
      <c r="AM39" s="26">
        <f>AM29</f>
        <v/>
      </c>
      <c r="AO39" s="18">
        <f>AO29</f>
        <v/>
      </c>
      <c r="AP39" s="25">
        <f>AP29</f>
        <v/>
      </c>
      <c r="AQ39" s="26">
        <f>AQ29</f>
        <v/>
      </c>
    </row>
    <row r="40">
      <c r="AD40" s="53" t="n"/>
      <c r="AE40" s="53" t="n"/>
      <c r="AF40" s="53" t="n"/>
      <c r="AG40" s="53" t="n"/>
      <c r="AH40" s="53" t="n"/>
    </row>
    <row r="41">
      <c r="AD41" s="53" t="n"/>
      <c r="AE41" s="53" t="n"/>
      <c r="AF41" s="53" t="n"/>
      <c r="AG41" s="53" t="n"/>
      <c r="AH41" s="53" t="n"/>
    </row>
    <row r="42">
      <c r="AD42" s="53" t="n"/>
      <c r="AE42" s="53" t="n"/>
      <c r="AF42" s="53" t="n"/>
      <c r="AG42" s="53" t="n"/>
      <c r="AH42" s="53" t="n"/>
      <c r="AK42" s="4" t="inlineStr">
        <is>
          <t>Row Labels</t>
        </is>
      </c>
      <c r="AL42" t="inlineStr">
        <is>
          <t>Sum of Planned Vs Completed ratio</t>
        </is>
      </c>
    </row>
    <row r="43">
      <c r="AD43" s="53" t="n"/>
      <c r="AE43" s="53" t="n"/>
      <c r="AF43" s="53" t="n"/>
      <c r="AG43" s="53" t="n"/>
      <c r="AH43" s="53" t="n"/>
      <c r="AK43" s="2" t="inlineStr">
        <is>
          <t>2022: OCR 7.5 - 7.19</t>
        </is>
      </c>
      <c r="AL43" t="n">
        <v>0.75</v>
      </c>
    </row>
    <row r="44">
      <c r="AD44" s="53" t="n"/>
      <c r="AE44" s="53" t="n"/>
      <c r="AF44" s="53" t="n"/>
      <c r="AG44" s="53" t="n"/>
      <c r="AH44" s="53" t="n"/>
      <c r="AK44" s="2" t="inlineStr">
        <is>
          <t>2022: OCR 7.19 - 8.2</t>
        </is>
      </c>
      <c r="AL44" t="n">
        <v>0.7241379310344828</v>
      </c>
    </row>
    <row r="45">
      <c r="AD45" s="53" t="n"/>
      <c r="AE45" s="53" t="n"/>
      <c r="AF45" s="53" t="n"/>
      <c r="AG45" s="53" t="n"/>
      <c r="AH45" s="53" t="n"/>
      <c r="AK45" s="2" t="inlineStr">
        <is>
          <t>2022: OCR  8.2 - 8.16</t>
        </is>
      </c>
      <c r="AL45" t="n">
        <v>0.4186046511627907</v>
      </c>
    </row>
    <row r="46">
      <c r="AD46" s="53" t="n"/>
      <c r="AE46" s="53" t="n"/>
      <c r="AF46" s="53" t="n"/>
      <c r="AG46" s="53" t="n"/>
      <c r="AH46" s="53" t="n"/>
      <c r="AK46" s="2" t="inlineStr">
        <is>
          <t>2022: CS 8.16 - 8.30</t>
        </is>
      </c>
      <c r="AL46" t="n">
        <v>0.38</v>
      </c>
    </row>
    <row r="47">
      <c r="U47" s="81" t="n"/>
      <c r="AD47" s="53" t="n"/>
      <c r="AE47" s="53" t="n"/>
      <c r="AF47" s="53" t="n"/>
      <c r="AG47" s="53" t="n"/>
      <c r="AH47" s="53" t="n"/>
      <c r="AK47" s="2" t="inlineStr">
        <is>
          <t>2022: CS 8.30 - 9.13</t>
        </is>
      </c>
      <c r="AL47" t="n">
        <v>0.5348837209302325</v>
      </c>
    </row>
    <row r="48">
      <c r="AD48" s="53" t="n"/>
      <c r="AE48" s="53" t="n"/>
      <c r="AF48" s="53" t="n"/>
      <c r="AG48" s="53" t="n"/>
      <c r="AH48" s="53" t="n"/>
      <c r="AK48" s="2" t="inlineStr">
        <is>
          <t>2022: CS  9.13 - 9.27</t>
        </is>
      </c>
      <c r="AL48" t="n">
        <v>0.4102564102564102</v>
      </c>
    </row>
    <row r="49">
      <c r="AD49" s="53" t="n"/>
      <c r="AE49" s="53" t="n"/>
      <c r="AF49" s="53" t="n"/>
      <c r="AG49" s="53" t="n"/>
      <c r="AH49" s="53" t="n"/>
      <c r="AK49" s="2" t="inlineStr">
        <is>
          <t>Grand Total</t>
        </is>
      </c>
      <c r="AL49" t="n">
        <v>3.217882713383916</v>
      </c>
    </row>
    <row r="50">
      <c r="AD50" s="53" t="n"/>
      <c r="AE50" s="53" t="n"/>
      <c r="AF50" s="53" t="n"/>
      <c r="AG50" s="53" t="n"/>
      <c r="AH50" s="53" t="n"/>
    </row>
    <row r="51">
      <c r="AD51" s="53" t="n"/>
      <c r="AE51" s="53" t="n"/>
      <c r="AF51" s="53" t="n"/>
      <c r="AG51" s="53" t="n"/>
      <c r="AH51" s="53" t="n"/>
    </row>
    <row r="52">
      <c r="AD52" s="53" t="n"/>
      <c r="AE52" s="53" t="n"/>
      <c r="AF52" s="53" t="n"/>
      <c r="AG52" s="53" t="n"/>
      <c r="AH52" s="53" t="n"/>
      <c r="AK52" s="35" t="inlineStr">
        <is>
          <t>Sprint</t>
        </is>
      </c>
      <c r="AL52" s="36" t="inlineStr">
        <is>
          <t>Planned Vs Completed ratio</t>
        </is>
      </c>
    </row>
    <row r="53">
      <c r="AD53" s="53" t="n"/>
      <c r="AE53" s="53" t="n"/>
      <c r="AF53" s="53" t="n"/>
      <c r="AG53" s="53" t="n"/>
      <c r="AH53" s="53" t="n"/>
      <c r="AK53" s="34">
        <f>AK43</f>
        <v/>
      </c>
      <c r="AL53" s="32">
        <f>AL43</f>
        <v/>
      </c>
    </row>
    <row r="54">
      <c r="AD54" s="53" t="n"/>
      <c r="AE54" s="53" t="n"/>
      <c r="AF54" s="53" t="n"/>
      <c r="AG54" s="53" t="n"/>
      <c r="AH54" s="53" t="n"/>
      <c r="AK54" s="34">
        <f>AK44</f>
        <v/>
      </c>
      <c r="AL54" s="32">
        <f>AL44</f>
        <v/>
      </c>
    </row>
    <row r="55">
      <c r="AD55" s="53" t="n"/>
      <c r="AE55" s="53" t="n"/>
      <c r="AF55" s="53" t="n"/>
      <c r="AG55" s="53" t="n"/>
      <c r="AH55" s="53" t="n"/>
      <c r="AK55" s="34">
        <f>AK45</f>
        <v/>
      </c>
      <c r="AL55" s="32">
        <f>AL45</f>
        <v/>
      </c>
    </row>
    <row r="56">
      <c r="AK56" s="34">
        <f>AK46</f>
        <v/>
      </c>
      <c r="AL56" s="32">
        <f>AL46</f>
        <v/>
      </c>
    </row>
    <row r="57">
      <c r="AK57" s="34">
        <f>AK47</f>
        <v/>
      </c>
      <c r="AL57" s="32">
        <f>AL47</f>
        <v/>
      </c>
    </row>
    <row r="58">
      <c r="AK58" s="34">
        <f>AK48</f>
        <v/>
      </c>
      <c r="AL58" s="32">
        <f>AL48</f>
        <v/>
      </c>
    </row>
    <row r="59">
      <c r="AK59" s="34">
        <f>AK49</f>
        <v/>
      </c>
      <c r="AL59" s="32">
        <f>AL49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7"/>
  <sheetViews>
    <sheetView workbookViewId="0">
      <selection activeCell="K2" sqref="K2"/>
    </sheetView>
  </sheetViews>
  <sheetFormatPr baseColWidth="8" defaultRowHeight="15"/>
  <cols>
    <col width="18.7109375" customWidth="1" min="1" max="1"/>
    <col width="21.42578125" customWidth="1" min="2" max="2"/>
    <col width="17.85546875" customWidth="1" min="3" max="3"/>
    <col width="9.85546875" customWidth="1" min="6" max="6"/>
    <col width="18.5703125" customWidth="1" min="7" max="7"/>
    <col width="14.42578125" customWidth="1" min="8" max="8"/>
    <col width="14" customWidth="1" min="9" max="9"/>
    <col width="12.42578125" customWidth="1" min="10" max="10"/>
    <col width="23.140625" customWidth="1" min="11" max="11"/>
    <col width="22.7109375" customWidth="1" min="12" max="12"/>
    <col width="24.85546875" customWidth="1" min="13" max="13"/>
    <col width="24.42578125" customWidth="1" min="14" max="14"/>
    <col width="27.85546875" customWidth="1" min="15" max="15"/>
  </cols>
  <sheetData>
    <row r="1">
      <c r="A1" t="inlineStr">
        <is>
          <t>Week Starting On</t>
        </is>
      </c>
      <c r="B1" t="inlineStr">
        <is>
          <t>Planned Story points</t>
        </is>
      </c>
      <c r="C1" t="inlineStr">
        <is>
          <t>Actual Delivered</t>
        </is>
      </c>
      <c r="D1" t="inlineStr">
        <is>
          <t>V2</t>
        </is>
      </c>
      <c r="E1" t="inlineStr">
        <is>
          <t>LT</t>
        </is>
      </c>
      <c r="F1" t="inlineStr">
        <is>
          <t>Rework</t>
        </is>
      </c>
      <c r="G1" t="inlineStr">
        <is>
          <t>Reopened SP (LT)</t>
        </is>
      </c>
      <c r="H1" t="inlineStr">
        <is>
          <t>V2 Carryover</t>
        </is>
      </c>
      <c r="I1" t="inlineStr">
        <is>
          <t>LT Carryover</t>
        </is>
      </c>
      <c r="J1" t="inlineStr">
        <is>
          <t>QA Passed</t>
        </is>
      </c>
      <c r="K1" t="inlineStr">
        <is>
          <t>V2 Reopen Percentage</t>
        </is>
      </c>
      <c r="L1" t="inlineStr">
        <is>
          <t>LT Reopen Percentage</t>
        </is>
      </c>
      <c r="M1" t="inlineStr">
        <is>
          <t>V2 Carryover Percentage</t>
        </is>
      </c>
      <c r="N1" t="inlineStr">
        <is>
          <t>LT Carryover Percentage</t>
        </is>
      </c>
      <c r="O1" t="inlineStr">
        <is>
          <t>Planned Vs Completed ratio</t>
        </is>
      </c>
    </row>
    <row r="2">
      <c r="A2" t="inlineStr">
        <is>
          <t>Velarium Spt 7.2 | 7.13-7.27</t>
        </is>
      </c>
      <c r="B2" t="n">
        <v>20</v>
      </c>
      <c r="C2" t="n">
        <v>20</v>
      </c>
      <c r="D2" t="n">
        <v>1</v>
      </c>
      <c r="E2" t="n">
        <v>19</v>
      </c>
      <c r="F2" t="n">
        <v>0</v>
      </c>
      <c r="G2" t="n">
        <v>4</v>
      </c>
      <c r="H2" t="n">
        <v>0</v>
      </c>
      <c r="I2" t="n">
        <v>0</v>
      </c>
      <c r="J2" t="n">
        <v>1</v>
      </c>
      <c r="K2" t="n">
        <v>0</v>
      </c>
      <c r="L2" t="n">
        <v>0.2105263157894737</v>
      </c>
      <c r="M2" t="n">
        <v>0</v>
      </c>
      <c r="N2" t="n">
        <v>0</v>
      </c>
      <c r="O2" t="n">
        <v>1</v>
      </c>
    </row>
    <row r="3">
      <c r="A3" t="inlineStr">
        <is>
          <t>Velarium Spt 7.3 | 7.27-8.10</t>
        </is>
      </c>
      <c r="B3" t="n">
        <v>23</v>
      </c>
      <c r="C3" t="n">
        <v>23</v>
      </c>
      <c r="D3" t="n">
        <v>4</v>
      </c>
      <c r="E3" t="n">
        <v>19</v>
      </c>
      <c r="F3" t="n">
        <v>0</v>
      </c>
      <c r="G3" t="n">
        <v>2</v>
      </c>
      <c r="H3" t="n">
        <v>0</v>
      </c>
      <c r="I3" t="n">
        <v>0</v>
      </c>
      <c r="J3" t="n">
        <v>4</v>
      </c>
      <c r="K3" t="n">
        <v>0</v>
      </c>
      <c r="L3" t="n">
        <v>0.1052631578947368</v>
      </c>
      <c r="M3" t="n">
        <v>0</v>
      </c>
      <c r="N3" t="n">
        <v>0</v>
      </c>
      <c r="O3" t="n">
        <v>1</v>
      </c>
    </row>
    <row r="4">
      <c r="A4" t="inlineStr">
        <is>
          <t>Velarium Spt 8.1 | 8.10-8.24</t>
        </is>
      </c>
      <c r="B4" t="n">
        <v>19</v>
      </c>
      <c r="C4" t="n">
        <v>19</v>
      </c>
      <c r="D4" t="n">
        <v>5</v>
      </c>
      <c r="E4" t="n">
        <v>14</v>
      </c>
      <c r="F4" t="n">
        <v>0</v>
      </c>
      <c r="G4" t="n">
        <v>2</v>
      </c>
      <c r="H4" t="n">
        <v>0</v>
      </c>
      <c r="I4" t="n">
        <v>0</v>
      </c>
      <c r="J4" t="n">
        <v>5</v>
      </c>
      <c r="K4" t="n">
        <v>0</v>
      </c>
      <c r="L4" t="n">
        <v>0.1428571428571428</v>
      </c>
      <c r="M4" t="n">
        <v>0</v>
      </c>
      <c r="N4" t="n">
        <v>0</v>
      </c>
      <c r="O4" t="n">
        <v>1</v>
      </c>
    </row>
    <row r="5">
      <c r="A5" t="inlineStr">
        <is>
          <t>Velarium Spt 8.2 | 8.24-9.7</t>
        </is>
      </c>
      <c r="B5" t="n">
        <v>29</v>
      </c>
      <c r="C5" t="n">
        <v>29</v>
      </c>
      <c r="D5" t="n">
        <v>6</v>
      </c>
      <c r="E5" t="n">
        <v>23</v>
      </c>
      <c r="F5" t="n">
        <v>2</v>
      </c>
      <c r="G5" t="n">
        <v>3</v>
      </c>
      <c r="H5" t="n">
        <v>0</v>
      </c>
      <c r="I5" t="n">
        <v>0</v>
      </c>
      <c r="J5" t="n">
        <v>4</v>
      </c>
      <c r="K5" t="n">
        <v>0.3333333333333333</v>
      </c>
      <c r="L5" t="n">
        <v>0.1304347826086956</v>
      </c>
      <c r="M5" t="n">
        <v>0</v>
      </c>
      <c r="N5" t="n">
        <v>0</v>
      </c>
      <c r="O5" t="n">
        <v>1</v>
      </c>
    </row>
    <row r="6">
      <c r="A6" t="inlineStr">
        <is>
          <t>Velarium Spt 9.1 | 9.7-9.21</t>
        </is>
      </c>
      <c r="B6" t="n">
        <v>31</v>
      </c>
      <c r="C6" t="n">
        <v>31</v>
      </c>
      <c r="D6" t="n">
        <v>7</v>
      </c>
      <c r="E6" t="n">
        <v>24</v>
      </c>
      <c r="F6" t="n">
        <v>0</v>
      </c>
      <c r="G6" t="n">
        <v>5</v>
      </c>
      <c r="H6" t="n">
        <v>0</v>
      </c>
      <c r="I6" t="n">
        <v>0</v>
      </c>
      <c r="J6" t="n">
        <v>7</v>
      </c>
      <c r="K6" t="n">
        <v>0</v>
      </c>
      <c r="L6" t="n">
        <v>0.2083333333333333</v>
      </c>
      <c r="M6" t="n">
        <v>0</v>
      </c>
      <c r="N6" t="n">
        <v>0</v>
      </c>
      <c r="O6" t="n">
        <v>1</v>
      </c>
    </row>
    <row r="7">
      <c r="A7" t="inlineStr">
        <is>
          <t>Velarium Spt 9.2 | 9.21-10.5</t>
        </is>
      </c>
      <c r="B7" t="n">
        <v>21</v>
      </c>
      <c r="C7" t="n">
        <v>21</v>
      </c>
      <c r="D7" t="n">
        <v>5</v>
      </c>
      <c r="E7" t="n">
        <v>16</v>
      </c>
      <c r="F7" t="n">
        <v>3</v>
      </c>
      <c r="G7" t="n">
        <v>7</v>
      </c>
      <c r="H7" t="n">
        <v>0</v>
      </c>
      <c r="I7" t="n">
        <v>0</v>
      </c>
      <c r="J7" t="n">
        <v>2</v>
      </c>
      <c r="K7" t="n">
        <v>0.6</v>
      </c>
      <c r="L7" t="n">
        <v>0.4375</v>
      </c>
      <c r="M7" t="n">
        <v>0</v>
      </c>
      <c r="N7" t="n">
        <v>0</v>
      </c>
      <c r="O7" t="n">
        <v>1</v>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B1:BG318"/>
  <sheetViews>
    <sheetView showGridLines="0" topLeftCell="AD1" zoomScale="70" zoomScaleNormal="70" workbookViewId="0">
      <pane ySplit="1" topLeftCell="A11" activePane="bottomLeft" state="frozen"/>
      <selection pane="bottomLeft" activeCell="N11" sqref="N11"/>
      <selection activeCell="T1" sqref="T1"/>
    </sheetView>
  </sheetViews>
  <sheetFormatPr baseColWidth="8" defaultColWidth="9.140625" defaultRowHeight="15"/>
  <cols>
    <col width="9.140625" customWidth="1" style="19" min="1" max="2"/>
    <col width="20.85546875" bestFit="1" customWidth="1" style="19" min="3" max="3"/>
    <col width="9.140625" customWidth="1" style="19" min="4" max="13"/>
    <col width="9.42578125" customWidth="1" style="19" min="14" max="14"/>
    <col width="9.140625" customWidth="1" style="19" min="15" max="19"/>
    <col width="31" bestFit="1" customWidth="1" style="19" min="20" max="20"/>
    <col width="31" customWidth="1" style="19" min="21" max="21"/>
    <col width="21" bestFit="1" customWidth="1" style="48" min="22" max="22"/>
    <col width="9.140625" customWidth="1" style="48" min="23" max="25"/>
    <col width="16.5703125" bestFit="1" customWidth="1" style="48" min="26" max="26"/>
    <col width="12.28515625" bestFit="1" customWidth="1" style="48" min="27" max="27"/>
    <col width="11.85546875" bestFit="1" customWidth="1" style="48" min="28" max="28"/>
    <col width="10.28515625" bestFit="1" customWidth="1" style="48" min="29" max="29"/>
    <col width="21.5703125" bestFit="1" customWidth="1" style="30" min="30" max="30"/>
    <col width="21" bestFit="1" customWidth="1" style="30" min="31" max="31"/>
    <col width="23.28515625" bestFit="1" customWidth="1" style="30" min="32" max="32"/>
    <col width="22.85546875" bestFit="1" customWidth="1" style="30" min="33" max="33"/>
    <col width="26.42578125" bestFit="1" customWidth="1" style="3" min="34" max="34"/>
    <col width="9.140625" customWidth="1" style="19" min="35" max="35"/>
    <col width="26.28515625" bestFit="1" customWidth="1" style="19" min="36" max="36"/>
    <col width="10.140625" bestFit="1" customWidth="1" style="19" min="37" max="37"/>
    <col width="9.85546875" bestFit="1" customWidth="1" style="19" min="38" max="38"/>
    <col width="9.140625" customWidth="1" style="19" min="39" max="39"/>
    <col width="26.28515625" bestFit="1" customWidth="1" style="19" min="40" max="40"/>
    <col width="14.85546875" bestFit="1" customWidth="1" style="19" min="41" max="41"/>
    <col width="17.5703125" bestFit="1" customWidth="1" style="19" min="42" max="42"/>
    <col width="9.140625" customWidth="1" style="19" min="43" max="44"/>
    <col width="26.28515625" bestFit="1" customWidth="1" style="19" min="45" max="45"/>
    <col width="28.5703125" bestFit="1" customWidth="1" style="19" min="46" max="46"/>
    <col width="28.140625" bestFit="1" customWidth="1" style="19" min="47" max="47"/>
    <col width="9.140625" customWidth="1" style="19" min="48" max="56"/>
    <col width="26.42578125" bestFit="1" customWidth="1" style="19" min="57" max="57"/>
    <col width="28.5703125" bestFit="1" customWidth="1" style="19" min="58" max="58"/>
    <col width="28.140625" bestFit="1" customWidth="1" style="19" min="59" max="59"/>
    <col width="23.7109375" bestFit="1" customWidth="1" style="19" min="60" max="60"/>
    <col width="11.42578125" bestFit="1" customWidth="1" style="19" min="61" max="61"/>
    <col width="9.140625" customWidth="1" style="19" min="62" max="16384"/>
  </cols>
  <sheetData>
    <row r="1">
      <c r="T1" s="40" t="inlineStr">
        <is>
          <t>Week Starting On</t>
        </is>
      </c>
      <c r="U1" s="54" t="inlineStr">
        <is>
          <t>Planned Story points</t>
        </is>
      </c>
      <c r="V1" s="44" t="inlineStr">
        <is>
          <t>Actual Delivered</t>
        </is>
      </c>
      <c r="W1" s="44" t="inlineStr">
        <is>
          <t>V2</t>
        </is>
      </c>
      <c r="X1" s="44" t="inlineStr">
        <is>
          <t>LT</t>
        </is>
      </c>
      <c r="Y1" s="44" t="inlineStr">
        <is>
          <t>Rework</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c r="AS1" s="4" t="inlineStr">
        <is>
          <t>Row Labels</t>
        </is>
      </c>
      <c r="AT1" t="inlineStr">
        <is>
          <t>Sum of V2 Reopen Percentage</t>
        </is>
      </c>
      <c r="AU1" t="inlineStr">
        <is>
          <t>Sum of LT Reopen Percentage</t>
        </is>
      </c>
      <c r="BE1" s="4" t="inlineStr">
        <is>
          <t>Row Labels</t>
        </is>
      </c>
      <c r="BF1" t="inlineStr">
        <is>
          <t>Sum of V2 Reopen Percentage</t>
        </is>
      </c>
      <c r="BG1" t="inlineStr">
        <is>
          <t>Sum of LT Reopen Percentage</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PART 2021: 3.1  (3.10 - 3.24)</t>
        </is>
      </c>
      <c r="U2" s="46" t="n">
        <v>25</v>
      </c>
      <c r="V2" s="46" t="n">
        <v>4</v>
      </c>
      <c r="W2" s="46" t="n">
        <v>0</v>
      </c>
      <c r="X2" s="46" t="n">
        <v>4</v>
      </c>
      <c r="Y2" s="46" t="n">
        <v>0</v>
      </c>
      <c r="Z2" s="46" t="n">
        <v>0</v>
      </c>
      <c r="AA2" s="46" t="n">
        <v>12</v>
      </c>
      <c r="AB2" s="46" t="n">
        <v>9</v>
      </c>
      <c r="AC2" s="46">
        <f>W2-Y2</f>
        <v/>
      </c>
      <c r="AD2" s="47" t="n">
        <v>0</v>
      </c>
      <c r="AE2" s="47">
        <f>Z2/X2</f>
        <v/>
      </c>
      <c r="AF2" s="47" t="n">
        <v>1</v>
      </c>
      <c r="AG2" s="47">
        <f>AB2/X2</f>
        <v/>
      </c>
      <c r="AH2" s="53">
        <f>V2/U2</f>
        <v/>
      </c>
      <c r="AJ2" s="2" t="inlineStr">
        <is>
          <t>Velarium Spt 7.2 | 7.13-7.27</t>
        </is>
      </c>
      <c r="AK2" t="n">
        <v>1</v>
      </c>
      <c r="AL2" t="n">
        <v>19</v>
      </c>
      <c r="AN2" s="2" t="inlineStr">
        <is>
          <t>Velarium Spt 7.2 | 7.13-7.27</t>
        </is>
      </c>
      <c r="AO2" t="n">
        <v>0</v>
      </c>
      <c r="AP2" t="n">
        <v>1</v>
      </c>
      <c r="AS2" s="2" t="inlineStr">
        <is>
          <t>Velarium Spt 7.2 | 7.13-7.27</t>
        </is>
      </c>
      <c r="AT2" s="23" t="n">
        <v>0</v>
      </c>
      <c r="AU2" s="23" t="n">
        <v>0.2105263157894737</v>
      </c>
      <c r="BB2" s="19" t="inlineStr">
        <is>
          <t>Green</t>
        </is>
      </c>
      <c r="BE2" s="2" t="inlineStr">
        <is>
          <t>PART 2021: 3.1  (3.10 - 3.24)</t>
        </is>
      </c>
      <c r="BF2" s="125" t="n">
        <v>0</v>
      </c>
      <c r="BG2" t="n">
        <v>0</v>
      </c>
    </row>
    <row r="3">
      <c r="B3" s="17" t="n"/>
      <c r="Q3" s="10" t="n"/>
      <c r="T3" s="37" t="inlineStr">
        <is>
          <t>PART 2021: 3.2 (3.24 - 4.7)</t>
        </is>
      </c>
      <c r="U3" s="46" t="n">
        <v>41</v>
      </c>
      <c r="V3" s="46" t="n">
        <v>25</v>
      </c>
      <c r="W3" s="46" t="n">
        <v>10</v>
      </c>
      <c r="X3" s="46" t="n">
        <v>15</v>
      </c>
      <c r="Y3" s="46" t="n">
        <v>10</v>
      </c>
      <c r="Z3" s="46" t="n">
        <v>1</v>
      </c>
      <c r="AA3" s="46" t="n">
        <v>8</v>
      </c>
      <c r="AB3" s="46" t="n">
        <v>8</v>
      </c>
      <c r="AC3" s="46">
        <f>W3-Y3</f>
        <v/>
      </c>
      <c r="AD3" s="47">
        <f>Y3/W3</f>
        <v/>
      </c>
      <c r="AE3" s="47">
        <f>Z3/X3</f>
        <v/>
      </c>
      <c r="AF3" s="47">
        <f>AA3/W3</f>
        <v/>
      </c>
      <c r="AG3" s="47">
        <f>AB3/X3</f>
        <v/>
      </c>
      <c r="AH3" s="53">
        <f>V3/U3</f>
        <v/>
      </c>
      <c r="AJ3" s="2" t="inlineStr">
        <is>
          <t>Velarium Spt 7.3 | 7.27-8.10</t>
        </is>
      </c>
      <c r="AK3" t="n">
        <v>4</v>
      </c>
      <c r="AL3" t="n">
        <v>19</v>
      </c>
      <c r="AN3" s="2" t="inlineStr">
        <is>
          <t>Velarium Spt 7.3 | 7.27-8.10</t>
        </is>
      </c>
      <c r="AO3" t="n">
        <v>0</v>
      </c>
      <c r="AP3" t="n">
        <v>4</v>
      </c>
      <c r="AS3" s="2" t="inlineStr">
        <is>
          <t>Velarium Spt 7.3 | 7.27-8.10</t>
        </is>
      </c>
      <c r="AT3" s="23" t="n">
        <v>0</v>
      </c>
      <c r="AU3" s="23" t="n">
        <v>0.1052631578947368</v>
      </c>
      <c r="BB3" s="19" t="inlineStr">
        <is>
          <t>Red</t>
        </is>
      </c>
      <c r="BE3" s="2" t="inlineStr">
        <is>
          <t>PART 2021: 3.2 (3.24 - 4.7)</t>
        </is>
      </c>
      <c r="BF3" s="125" t="n">
        <v>0.5</v>
      </c>
      <c r="BG3" t="n">
        <v>0.06666666666666667</v>
      </c>
    </row>
    <row r="4">
      <c r="B4" s="17" t="n"/>
      <c r="Q4" s="10" t="n"/>
      <c r="T4" s="37" t="inlineStr">
        <is>
          <t>PART 2021: 4.1 (4.7 - 4.21)</t>
        </is>
      </c>
      <c r="U4" s="46" t="n">
        <v>42</v>
      </c>
      <c r="V4" s="46" t="n">
        <v>14</v>
      </c>
      <c r="W4" s="46" t="n">
        <v>3</v>
      </c>
      <c r="X4" s="46" t="n">
        <v>11</v>
      </c>
      <c r="Y4" s="46" t="n">
        <v>0</v>
      </c>
      <c r="Z4" s="46" t="n">
        <v>8</v>
      </c>
      <c r="AA4" s="46" t="n">
        <v>15</v>
      </c>
      <c r="AB4" s="46" t="n">
        <v>13</v>
      </c>
      <c r="AC4" s="46">
        <f>W4-Y4</f>
        <v/>
      </c>
      <c r="AD4" s="47">
        <f>Y4/W4</f>
        <v/>
      </c>
      <c r="AE4" s="47">
        <f>Z4/X4</f>
        <v/>
      </c>
      <c r="AF4" s="47">
        <f>AA4/W4</f>
        <v/>
      </c>
      <c r="AG4" s="47">
        <f>AB4/X4</f>
        <v/>
      </c>
      <c r="AH4" s="53">
        <f>V4/U4</f>
        <v/>
      </c>
      <c r="AJ4" s="2" t="inlineStr">
        <is>
          <t>Velarium Spt 8.1 | 8.10-8.24</t>
        </is>
      </c>
      <c r="AK4" t="n">
        <v>5</v>
      </c>
      <c r="AL4" t="n">
        <v>14</v>
      </c>
      <c r="AN4" s="2" t="inlineStr">
        <is>
          <t>Velarium Spt 8.1 | 8.10-8.24</t>
        </is>
      </c>
      <c r="AO4" t="n">
        <v>0</v>
      </c>
      <c r="AP4" t="n">
        <v>5</v>
      </c>
      <c r="AS4" s="2" t="inlineStr">
        <is>
          <t>Velarium Spt 8.1 | 8.10-8.24</t>
        </is>
      </c>
      <c r="AT4" s="23" t="n">
        <v>0</v>
      </c>
      <c r="AU4" s="23" t="n">
        <v>0.1428571428571428</v>
      </c>
      <c r="BB4" s="19" t="inlineStr">
        <is>
          <t>Amber</t>
        </is>
      </c>
      <c r="BE4" s="2" t="inlineStr">
        <is>
          <t>PART 2021: 4.1 (4.7 - 4.21)</t>
        </is>
      </c>
      <c r="BF4" s="125" t="n">
        <v>0</v>
      </c>
      <c r="BG4" t="n">
        <v>0.7272727272727273</v>
      </c>
    </row>
    <row r="5">
      <c r="B5" s="84" t="n"/>
      <c r="C5" s="86" t="n"/>
      <c r="D5" s="86" t="n"/>
      <c r="E5" s="86" t="n"/>
      <c r="F5" s="86" t="n"/>
      <c r="G5" s="86" t="n"/>
      <c r="H5" s="86" t="n"/>
      <c r="I5" s="86" t="n"/>
      <c r="J5" s="86" t="n"/>
      <c r="K5" s="86" t="n"/>
      <c r="L5" s="86" t="n"/>
      <c r="M5" s="86" t="n"/>
      <c r="N5" s="86" t="n"/>
      <c r="O5" s="86" t="n"/>
      <c r="P5" s="86" t="n"/>
      <c r="Q5" s="92" t="n"/>
      <c r="T5" s="37" t="inlineStr">
        <is>
          <t>PART 2021: 4.2 (4.21 - 5.5)</t>
        </is>
      </c>
      <c r="U5" s="46" t="n">
        <v>63</v>
      </c>
      <c r="V5" s="46" t="n">
        <v>23</v>
      </c>
      <c r="W5" s="46" t="n">
        <v>4</v>
      </c>
      <c r="X5" s="46" t="n">
        <v>19</v>
      </c>
      <c r="Y5" s="46" t="n">
        <v>4</v>
      </c>
      <c r="Z5" s="46" t="n">
        <v>8</v>
      </c>
      <c r="AA5" s="46" t="n">
        <v>20</v>
      </c>
      <c r="AB5" s="46" t="n">
        <v>20</v>
      </c>
      <c r="AC5" s="46">
        <f>W5-Y5</f>
        <v/>
      </c>
      <c r="AD5" s="47">
        <f>Y5/W5</f>
        <v/>
      </c>
      <c r="AE5" s="47">
        <f>Z5/X5</f>
        <v/>
      </c>
      <c r="AF5" s="47">
        <f>AA5/W5</f>
        <v/>
      </c>
      <c r="AG5" s="47">
        <f>AB5/X5</f>
        <v/>
      </c>
      <c r="AH5" s="53">
        <f>V5/U5</f>
        <v/>
      </c>
      <c r="AJ5" s="2" t="inlineStr">
        <is>
          <t>Velarium Spt 8.2 | 8.24-9.7</t>
        </is>
      </c>
      <c r="AK5" t="n">
        <v>6</v>
      </c>
      <c r="AL5" t="n">
        <v>23</v>
      </c>
      <c r="AN5" s="2" t="inlineStr">
        <is>
          <t>Velarium Spt 8.2 | 8.24-9.7</t>
        </is>
      </c>
      <c r="AO5" t="n">
        <v>2</v>
      </c>
      <c r="AP5" t="n">
        <v>4</v>
      </c>
      <c r="AS5" s="2" t="inlineStr">
        <is>
          <t>Velarium Spt 8.2 | 8.24-9.7</t>
        </is>
      </c>
      <c r="AT5" s="23" t="n">
        <v>0.3333333333333333</v>
      </c>
      <c r="AU5" s="23" t="n">
        <v>0.1304347826086956</v>
      </c>
      <c r="BE5" s="2" t="inlineStr">
        <is>
          <t>PART 2021: 4.2 (4.21 - 5.5)</t>
        </is>
      </c>
      <c r="BF5" s="125" t="n">
        <v>0.5</v>
      </c>
      <c r="BG5" t="n">
        <v>0.4210526315789473</v>
      </c>
    </row>
    <row r="6" ht="15.75" customHeight="1">
      <c r="B6" s="85" t="n"/>
      <c r="C6" s="100" t="inlineStr">
        <is>
          <t>Project Name</t>
        </is>
      </c>
      <c r="D6" s="310" t="inlineStr">
        <is>
          <t>LendingTree</t>
        </is>
      </c>
      <c r="H6" s="310" t="n"/>
      <c r="I6" s="310" t="n"/>
      <c r="J6" s="88" t="n"/>
      <c r="K6" s="88" t="n"/>
      <c r="L6" s="307" t="inlineStr">
        <is>
          <t>Status Date</t>
        </is>
      </c>
      <c r="N6" s="312" t="n">
        <v>44896</v>
      </c>
      <c r="P6" s="87" t="n"/>
      <c r="Q6" s="93" t="n"/>
      <c r="T6" s="37" t="inlineStr">
        <is>
          <t>PART 2021: 5.1 (5.5 - 5.19)</t>
        </is>
      </c>
      <c r="U6" s="46" t="n">
        <v>67</v>
      </c>
      <c r="V6" s="46" t="n">
        <v>41</v>
      </c>
      <c r="W6" s="46" t="n">
        <v>16</v>
      </c>
      <c r="X6" s="46" t="n">
        <v>25</v>
      </c>
      <c r="Y6" s="46" t="n">
        <v>12</v>
      </c>
      <c r="Z6" s="46" t="n">
        <v>11</v>
      </c>
      <c r="AA6" s="46" t="n">
        <v>6</v>
      </c>
      <c r="AB6" s="46" t="n">
        <v>20</v>
      </c>
      <c r="AC6" s="46" t="n">
        <v>4</v>
      </c>
      <c r="AD6" s="47">
        <f>Y6/W6</f>
        <v/>
      </c>
      <c r="AE6" s="47">
        <f>Z6/X6</f>
        <v/>
      </c>
      <c r="AF6" s="47">
        <f>AA6/W6</f>
        <v/>
      </c>
      <c r="AG6" s="47">
        <f>AB6/X6</f>
        <v/>
      </c>
      <c r="AH6" s="53">
        <f>V6/U6</f>
        <v/>
      </c>
      <c r="AJ6" s="2" t="inlineStr">
        <is>
          <t>Velarium Spt 9.1 | 9.7-9.21</t>
        </is>
      </c>
      <c r="AK6" t="n">
        <v>7</v>
      </c>
      <c r="AL6" t="n">
        <v>24</v>
      </c>
      <c r="AN6" s="2" t="inlineStr">
        <is>
          <t>Velarium Spt 9.1 | 9.7-9.21</t>
        </is>
      </c>
      <c r="AO6" t="n">
        <v>0</v>
      </c>
      <c r="AP6" t="n">
        <v>7</v>
      </c>
      <c r="AS6" s="2" t="inlineStr">
        <is>
          <t>Velarium Spt 9.1 | 9.7-9.21</t>
        </is>
      </c>
      <c r="AT6" s="23" t="n">
        <v>0</v>
      </c>
      <c r="AU6" s="23" t="n">
        <v>0.2083333333333333</v>
      </c>
      <c r="BE6" s="2" t="inlineStr">
        <is>
          <t>Grand Total</t>
        </is>
      </c>
      <c r="BF6" s="125" t="n">
        <v>1</v>
      </c>
      <c r="BG6" t="n">
        <v>1.214992025518341</v>
      </c>
    </row>
    <row r="7">
      <c r="B7" s="85" t="n"/>
      <c r="C7" s="100" t="inlineStr">
        <is>
          <t>Sub Project</t>
        </is>
      </c>
      <c r="D7" s="310" t="inlineStr">
        <is>
          <t>Partner Central</t>
        </is>
      </c>
      <c r="H7" s="101" t="n"/>
      <c r="I7" s="101" t="n"/>
      <c r="J7" s="89" t="n"/>
      <c r="K7" s="89" t="n"/>
      <c r="L7" s="90" t="n"/>
      <c r="M7" s="90" t="n"/>
      <c r="N7" s="90" t="n"/>
      <c r="O7" s="90" t="n"/>
      <c r="P7" s="87" t="n"/>
      <c r="Q7" s="93" t="n"/>
      <c r="T7" s="37" t="inlineStr">
        <is>
          <t>PART 2021: 5.2 (5.20 - 6.2)</t>
        </is>
      </c>
      <c r="U7" s="46" t="n">
        <v>56</v>
      </c>
      <c r="V7" s="46" t="n">
        <v>33</v>
      </c>
      <c r="W7" s="46" t="n">
        <v>20</v>
      </c>
      <c r="X7" s="46" t="n">
        <v>13</v>
      </c>
      <c r="Y7" s="46" t="n">
        <v>8</v>
      </c>
      <c r="Z7" s="46" t="n">
        <v>1</v>
      </c>
      <c r="AA7" s="46" t="n">
        <v>6</v>
      </c>
      <c r="AB7" s="46" t="n">
        <v>17</v>
      </c>
      <c r="AC7" s="46" t="n">
        <v>12</v>
      </c>
      <c r="AD7" s="47">
        <f>Y7/W7</f>
        <v/>
      </c>
      <c r="AE7" s="47">
        <f>Z7/X7</f>
        <v/>
      </c>
      <c r="AF7" s="47">
        <f>AA7/W7</f>
        <v/>
      </c>
      <c r="AG7" s="47">
        <f>AB7/X7</f>
        <v/>
      </c>
      <c r="AH7" s="53">
        <f>V7/U7</f>
        <v/>
      </c>
      <c r="AJ7" s="2" t="inlineStr">
        <is>
          <t>Velarium Spt 9.2 | 9.21-10.5</t>
        </is>
      </c>
      <c r="AK7" t="n">
        <v>5</v>
      </c>
      <c r="AL7" t="n">
        <v>16</v>
      </c>
      <c r="AN7" s="2" t="inlineStr">
        <is>
          <t>Velarium Spt 9.2 | 9.21-10.5</t>
        </is>
      </c>
      <c r="AO7" t="n">
        <v>3</v>
      </c>
      <c r="AP7" t="n">
        <v>2</v>
      </c>
      <c r="AS7" s="2" t="inlineStr">
        <is>
          <t>Velarium Spt 9.2 | 9.21-10.5</t>
        </is>
      </c>
      <c r="AT7" s="23" t="n">
        <v>0.6</v>
      </c>
      <c r="AU7" s="23" t="n">
        <v>0.4375</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PART 2021: 6.1 (6.2 - 6.16)</t>
        </is>
      </c>
      <c r="U8" s="46" t="n">
        <v>44</v>
      </c>
      <c r="V8" s="46" t="n">
        <v>22</v>
      </c>
      <c r="W8" s="46" t="n">
        <v>7</v>
      </c>
      <c r="X8" s="46" t="n">
        <v>15</v>
      </c>
      <c r="Y8" s="46" t="n">
        <v>2</v>
      </c>
      <c r="Z8" s="46" t="n">
        <v>3</v>
      </c>
      <c r="AA8" s="46" t="n">
        <v>7</v>
      </c>
      <c r="AB8" s="46" t="n">
        <v>15</v>
      </c>
      <c r="AC8" s="46" t="n">
        <v>5</v>
      </c>
      <c r="AD8" s="47">
        <f>Y8/W8</f>
        <v/>
      </c>
      <c r="AE8" s="47">
        <f>Z8/X8</f>
        <v/>
      </c>
      <c r="AF8" s="47">
        <f>AA8/W8</f>
        <v/>
      </c>
      <c r="AG8" s="47">
        <f>AB8/X8</f>
        <v/>
      </c>
      <c r="AH8" s="53">
        <f>V8/U8</f>
        <v/>
      </c>
      <c r="AJ8" s="2" t="inlineStr">
        <is>
          <t>Grand Total</t>
        </is>
      </c>
      <c r="AK8" t="n">
        <v>28</v>
      </c>
      <c r="AL8" t="n">
        <v>115</v>
      </c>
      <c r="AN8" s="2" t="inlineStr">
        <is>
          <t>Grand Total</t>
        </is>
      </c>
      <c r="AO8" t="n">
        <v>5</v>
      </c>
      <c r="AP8" t="n">
        <v>23</v>
      </c>
      <c r="AS8" s="2" t="inlineStr">
        <is>
          <t>Grand Total</t>
        </is>
      </c>
      <c r="AT8" s="23" t="n">
        <v>0.9333333333333333</v>
      </c>
      <c r="AU8" s="23" t="n">
        <v>1.234914732483382</v>
      </c>
    </row>
    <row r="9">
      <c r="B9" s="85" t="n"/>
      <c r="C9" s="100" t="inlineStr">
        <is>
          <t>Project Manager/Lead</t>
        </is>
      </c>
      <c r="D9" s="310" t="inlineStr">
        <is>
          <t>Goutham V</t>
        </is>
      </c>
      <c r="E9" s="310" t="n"/>
      <c r="F9" s="310" t="n"/>
      <c r="G9" s="310" t="n"/>
      <c r="H9" s="87" t="n"/>
      <c r="I9" s="87" t="n"/>
      <c r="J9" s="87" t="n"/>
      <c r="K9" s="87" t="n"/>
      <c r="L9" s="87" t="n"/>
      <c r="M9" s="87" t="n"/>
      <c r="N9" s="87" t="n"/>
      <c r="O9" s="87" t="n"/>
      <c r="P9" s="87" t="n"/>
      <c r="Q9" s="93" t="n"/>
      <c r="T9" s="37" t="inlineStr">
        <is>
          <t>PART 2021: 6.2 (6.16 - 6.30)</t>
        </is>
      </c>
      <c r="U9" s="46" t="n">
        <v>57</v>
      </c>
      <c r="V9" s="46" t="n">
        <v>25</v>
      </c>
      <c r="W9" s="46" t="n">
        <v>9</v>
      </c>
      <c r="X9" s="46" t="n">
        <v>16</v>
      </c>
      <c r="Y9" s="46" t="n">
        <v>5</v>
      </c>
      <c r="Z9" s="46" t="n">
        <v>7</v>
      </c>
      <c r="AA9" s="46" t="n">
        <v>8</v>
      </c>
      <c r="AB9" s="46" t="n">
        <v>24</v>
      </c>
      <c r="AC9" s="46" t="n">
        <v>4</v>
      </c>
      <c r="AD9" s="47">
        <f>Y9/W9</f>
        <v/>
      </c>
      <c r="AE9" s="47">
        <f>Z9/X9</f>
        <v/>
      </c>
      <c r="AF9" s="47">
        <f>AA9/W9</f>
        <v/>
      </c>
      <c r="AG9" s="47">
        <f>AB9/X9</f>
        <v/>
      </c>
      <c r="AH9" s="53">
        <f>V9/U9</f>
        <v/>
      </c>
    </row>
    <row r="10">
      <c r="B10" s="85" t="n"/>
      <c r="C10" s="100" t="inlineStr">
        <is>
          <t>Client POC</t>
        </is>
      </c>
      <c r="D10" s="310" t="inlineStr">
        <is>
          <t>Kerry</t>
        </is>
      </c>
      <c r="E10" s="310" t="n"/>
      <c r="F10" s="310" t="n"/>
      <c r="G10" s="310" t="n"/>
      <c r="H10" s="87" t="n"/>
      <c r="I10" s="87" t="n"/>
      <c r="J10" s="87" t="n"/>
      <c r="K10" s="87" t="n"/>
      <c r="L10" s="87" t="n"/>
      <c r="M10" s="87" t="n"/>
      <c r="N10" s="87" t="n"/>
      <c r="O10" s="87" t="n"/>
      <c r="P10" s="87" t="n"/>
      <c r="Q10" s="93" t="n"/>
      <c r="T10" s="37" t="inlineStr">
        <is>
          <t>PART 2021: 7.1 (6.30 - 7.14)</t>
        </is>
      </c>
      <c r="U10" s="46" t="n">
        <v>55</v>
      </c>
      <c r="V10" s="49" t="n">
        <v>25</v>
      </c>
      <c r="W10" s="49" t="n">
        <v>11</v>
      </c>
      <c r="X10" s="49" t="n">
        <v>14</v>
      </c>
      <c r="Y10" s="49" t="n">
        <v>8</v>
      </c>
      <c r="Z10" s="49" t="n">
        <v>6</v>
      </c>
      <c r="AA10" s="46" t="n">
        <v>6</v>
      </c>
      <c r="AB10" s="46" t="n">
        <v>24</v>
      </c>
      <c r="AC10" s="46" t="n">
        <v>3</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37" t="inlineStr">
        <is>
          <t>PART 2021: 7.2 (7.14 - 7.28)</t>
        </is>
      </c>
      <c r="U11" s="46" t="n">
        <v>49</v>
      </c>
      <c r="V11" s="49" t="n">
        <v>30</v>
      </c>
      <c r="W11" s="49" t="n">
        <v>5</v>
      </c>
      <c r="X11" s="49" t="n">
        <v>25</v>
      </c>
      <c r="Y11" s="49" t="n">
        <v>1</v>
      </c>
      <c r="Z11" s="49" t="n">
        <v>9</v>
      </c>
      <c r="AA11" s="46" t="n">
        <v>6</v>
      </c>
      <c r="AB11" s="46" t="n">
        <v>13</v>
      </c>
      <c r="AC11" s="46" t="n">
        <v>4</v>
      </c>
      <c r="AD11" s="47">
        <f>Y11/W11</f>
        <v/>
      </c>
      <c r="AE11" s="47">
        <f>Z11/X11</f>
        <v/>
      </c>
      <c r="AF11" s="47">
        <f>AA11/W11</f>
        <v/>
      </c>
      <c r="AG11" s="47">
        <f>AB11/X11</f>
        <v/>
      </c>
      <c r="AH11" s="53">
        <f>V11/U11</f>
        <v/>
      </c>
      <c r="AJ11" s="108" t="inlineStr">
        <is>
          <t>Sprint</t>
        </is>
      </c>
      <c r="AK11" s="121" t="inlineStr">
        <is>
          <t>V2</t>
        </is>
      </c>
      <c r="AL11" s="121" t="inlineStr">
        <is>
          <t>LT</t>
        </is>
      </c>
      <c r="AN11" s="69" t="inlineStr">
        <is>
          <t>QA Passed</t>
        </is>
      </c>
      <c r="AO11" s="83">
        <f>GETPIVOTDATA("Sum of QA Passed",$AN$1)</f>
        <v/>
      </c>
      <c r="AS11" s="69" t="inlineStr">
        <is>
          <t>Sprint</t>
        </is>
      </c>
      <c r="AT11" s="83" t="inlineStr">
        <is>
          <t>V2</t>
        </is>
      </c>
      <c r="AU11" s="83" t="inlineStr">
        <is>
          <t>LT</t>
        </is>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PART 2021: 8.1 (7.28 - 8.11)</t>
        </is>
      </c>
      <c r="U12" s="46" t="n">
        <v>44</v>
      </c>
      <c r="V12" s="49" t="n">
        <v>22</v>
      </c>
      <c r="W12" s="49" t="n">
        <v>8</v>
      </c>
      <c r="X12" s="49" t="n">
        <v>14</v>
      </c>
      <c r="Y12" s="49" t="n">
        <v>6</v>
      </c>
      <c r="Z12" s="49" t="n">
        <v>9</v>
      </c>
      <c r="AA12" s="46" t="n">
        <v>8</v>
      </c>
      <c r="AB12" s="46" t="n">
        <v>15</v>
      </c>
      <c r="AC12" s="46" t="n">
        <v>2</v>
      </c>
      <c r="AD12" s="47">
        <f>Y12/W12</f>
        <v/>
      </c>
      <c r="AE12" s="47">
        <f>Z12/X12</f>
        <v/>
      </c>
      <c r="AF12" s="47">
        <f>AA12/W12</f>
        <v/>
      </c>
      <c r="AG12" s="47">
        <f>AB12/X12</f>
        <v/>
      </c>
      <c r="AH12" s="53">
        <f>V12/U12</f>
        <v/>
      </c>
      <c r="AJ12" s="69">
        <f>AJ2</f>
        <v/>
      </c>
      <c r="AK12" s="81">
        <f>AK2</f>
        <v/>
      </c>
      <c r="AL12" s="81">
        <f>AL2</f>
        <v/>
      </c>
      <c r="AN12" s="69" t="inlineStr">
        <is>
          <t>Rework</t>
        </is>
      </c>
      <c r="AO12" s="83">
        <f>GETPIVOTDATA("Sum of Rework",$AN$1)</f>
        <v/>
      </c>
      <c r="AS12" s="69">
        <f>AS2</f>
        <v/>
      </c>
      <c r="AT12" s="83">
        <f>AT2</f>
        <v/>
      </c>
      <c r="AU12" s="83">
        <f>AU2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PART 2021: 8.2 (8.11 - 8.25)</t>
        </is>
      </c>
      <c r="U13" s="46" t="n">
        <v>49</v>
      </c>
      <c r="V13" s="49" t="n">
        <v>28</v>
      </c>
      <c r="W13" s="49" t="n">
        <v>9</v>
      </c>
      <c r="X13" s="49" t="n">
        <v>19</v>
      </c>
      <c r="Y13" s="49" t="n">
        <v>5</v>
      </c>
      <c r="Z13" s="49" t="n">
        <v>4</v>
      </c>
      <c r="AA13" s="46" t="n">
        <v>7</v>
      </c>
      <c r="AB13" s="46" t="n">
        <v>14</v>
      </c>
      <c r="AC13" s="46" t="n">
        <v>4</v>
      </c>
      <c r="AD13" s="47">
        <f>Y13/W13</f>
        <v/>
      </c>
      <c r="AE13" s="47">
        <f>Z13/X13</f>
        <v/>
      </c>
      <c r="AF13" s="47">
        <f>AA13/W13</f>
        <v/>
      </c>
      <c r="AG13" s="47">
        <f>AB13/X13</f>
        <v/>
      </c>
      <c r="AH13" s="53">
        <f>V13/U13</f>
        <v/>
      </c>
      <c r="AJ13" s="69">
        <f>AJ3</f>
        <v/>
      </c>
      <c r="AK13" s="81">
        <f>AK3</f>
        <v/>
      </c>
      <c r="AL13" s="81">
        <f>AL3</f>
        <v/>
      </c>
      <c r="AN13" s="2" t="n"/>
      <c r="AS13" s="69">
        <f>AS3</f>
        <v/>
      </c>
      <c r="AT13" s="83">
        <f>AT3</f>
        <v/>
      </c>
      <c r="AU13" s="83">
        <f>AU3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9" t="inlineStr">
        <is>
          <t>PART 2021: 9.1 (8.25 - 9.8)</t>
        </is>
      </c>
      <c r="U14" s="46" t="n">
        <v>60</v>
      </c>
      <c r="V14" s="49" t="n">
        <v>34</v>
      </c>
      <c r="W14" s="49" t="n">
        <v>7</v>
      </c>
      <c r="X14" s="49" t="n">
        <v>27</v>
      </c>
      <c r="Y14" s="49" t="n">
        <v>0</v>
      </c>
      <c r="Z14" s="49" t="n">
        <v>7</v>
      </c>
      <c r="AA14" s="46" t="n">
        <v>11</v>
      </c>
      <c r="AB14" s="46" t="n">
        <v>15</v>
      </c>
      <c r="AC14" s="46" t="n">
        <v>7</v>
      </c>
      <c r="AD14" s="47">
        <f>Y14/W14</f>
        <v/>
      </c>
      <c r="AE14" s="47">
        <f>Z14/X14</f>
        <v/>
      </c>
      <c r="AF14" s="47">
        <f>AA14/W14</f>
        <v/>
      </c>
      <c r="AG14" s="47">
        <f>AB14/X14</f>
        <v/>
      </c>
      <c r="AH14" s="53">
        <f>V14/U14</f>
        <v/>
      </c>
      <c r="AJ14" s="31">
        <f>AJ4</f>
        <v/>
      </c>
      <c r="AK14" s="81">
        <f>AK4</f>
        <v/>
      </c>
      <c r="AL14" s="81">
        <f>AL4</f>
        <v/>
      </c>
      <c r="AS14" s="83">
        <f>AS4</f>
        <v/>
      </c>
      <c r="AT14" s="32">
        <f>AT4</f>
        <v/>
      </c>
      <c r="AU14" s="32">
        <f>AU4</f>
        <v/>
      </c>
    </row>
    <row r="15">
      <c r="B15" s="94" t="n"/>
      <c r="C15" s="95" t="n"/>
      <c r="D15" s="96" t="n"/>
      <c r="E15" s="96" t="n"/>
      <c r="F15" s="96" t="n"/>
      <c r="G15" s="96" t="n"/>
      <c r="H15" s="96" t="n"/>
      <c r="I15" s="96" t="n"/>
      <c r="J15" s="96" t="n"/>
      <c r="K15" s="96" t="n"/>
      <c r="L15" s="96" t="n"/>
      <c r="M15" s="96" t="n"/>
      <c r="N15" s="97" t="n"/>
      <c r="O15" s="98" t="n"/>
      <c r="P15" s="98" t="n"/>
      <c r="Q15" s="99" t="n"/>
      <c r="T15" s="75" t="inlineStr">
        <is>
          <t>PART 2021: 9.2 (9.8 - 9.22)</t>
        </is>
      </c>
      <c r="U15" s="72" t="n">
        <v>49</v>
      </c>
      <c r="V15" s="72" t="n">
        <v>27</v>
      </c>
      <c r="W15" s="72" t="n">
        <v>4</v>
      </c>
      <c r="X15" s="72" t="n">
        <v>23</v>
      </c>
      <c r="Y15" s="72" t="n">
        <v>0</v>
      </c>
      <c r="Z15" s="72" t="n">
        <v>8</v>
      </c>
      <c r="AA15" s="46" t="n">
        <v>11</v>
      </c>
      <c r="AB15" s="46" t="n">
        <v>11</v>
      </c>
      <c r="AC15" s="72" t="n">
        <v>4</v>
      </c>
      <c r="AD15" s="47">
        <f>Y15/W15</f>
        <v/>
      </c>
      <c r="AE15" s="47">
        <f>Z15/X15</f>
        <v/>
      </c>
      <c r="AF15" s="47">
        <f>AA15/W15</f>
        <v/>
      </c>
      <c r="AG15" s="47">
        <f>AB15/X15</f>
        <v/>
      </c>
      <c r="AH15" s="53">
        <f>V15/U15</f>
        <v/>
      </c>
      <c r="AJ15" s="31">
        <f>AJ5</f>
        <v/>
      </c>
      <c r="AK15" s="81">
        <f>AK5</f>
        <v/>
      </c>
      <c r="AL15" s="81">
        <f>AL5</f>
        <v/>
      </c>
      <c r="AS15" s="83">
        <f>AS5</f>
        <v/>
      </c>
      <c r="AT15" s="32">
        <f>AT5</f>
        <v/>
      </c>
      <c r="AU15" s="32">
        <f>AU5</f>
        <v/>
      </c>
    </row>
    <row r="16">
      <c r="T16" s="39" t="inlineStr">
        <is>
          <t>PART 2021: 9.3 (9.22 - 10.6)</t>
        </is>
      </c>
      <c r="U16" s="46" t="n">
        <v>52</v>
      </c>
      <c r="V16" s="46" t="n">
        <v>29</v>
      </c>
      <c r="W16" s="46" t="n">
        <v>18</v>
      </c>
      <c r="X16" s="46" t="n">
        <v>11</v>
      </c>
      <c r="Y16" s="46" t="n">
        <v>9</v>
      </c>
      <c r="Z16" s="46" t="n">
        <v>2</v>
      </c>
      <c r="AA16" s="46" t="n">
        <v>9</v>
      </c>
      <c r="AB16" s="46" t="n">
        <v>14</v>
      </c>
      <c r="AC16" s="46" t="n">
        <v>9</v>
      </c>
      <c r="AD16" s="47">
        <f>Y16/W16</f>
        <v/>
      </c>
      <c r="AE16" s="47">
        <f>Z16/X16</f>
        <v/>
      </c>
      <c r="AF16" s="47">
        <f>AA16/W16</f>
        <v/>
      </c>
      <c r="AG16" s="47">
        <f>AB16/X16</f>
        <v/>
      </c>
      <c r="AH16" s="53">
        <f>V16/U16</f>
        <v/>
      </c>
      <c r="AJ16" s="31">
        <f>AJ6</f>
        <v/>
      </c>
      <c r="AK16" s="81">
        <f>AK6</f>
        <v/>
      </c>
      <c r="AL16" s="81">
        <f>AL6</f>
        <v/>
      </c>
      <c r="AS16" s="83">
        <f>AS6</f>
        <v/>
      </c>
      <c r="AT16" s="32">
        <f>AT6</f>
        <v/>
      </c>
      <c r="AU16" s="32">
        <f>AU6</f>
        <v/>
      </c>
    </row>
    <row r="17">
      <c r="T17" s="39" t="inlineStr">
        <is>
          <t>PART 2021: 10.1 (10.6 - 10.20)</t>
        </is>
      </c>
      <c r="U17" s="46" t="n">
        <v>50</v>
      </c>
      <c r="V17" s="46" t="n">
        <v>39</v>
      </c>
      <c r="W17" s="46" t="n">
        <v>18</v>
      </c>
      <c r="X17" s="46" t="n">
        <v>21</v>
      </c>
      <c r="Y17" s="46" t="n">
        <v>2</v>
      </c>
      <c r="Z17" s="46" t="n">
        <v>5</v>
      </c>
      <c r="AA17" s="46" t="n">
        <v>6</v>
      </c>
      <c r="AB17" s="46" t="n">
        <v>5</v>
      </c>
      <c r="AC17" s="46" t="n">
        <v>16</v>
      </c>
      <c r="AD17" s="47">
        <f>Y17/W17</f>
        <v/>
      </c>
      <c r="AE17" s="47">
        <f>Z17/X17</f>
        <v/>
      </c>
      <c r="AF17" s="47">
        <f>AA17/W17</f>
        <v/>
      </c>
      <c r="AG17" s="47">
        <f>AB17/X17</f>
        <v/>
      </c>
      <c r="AH17" s="53">
        <f>V17/U17</f>
        <v/>
      </c>
      <c r="AJ17" s="31">
        <f>AJ7</f>
        <v/>
      </c>
      <c r="AK17" s="81">
        <f>AK7</f>
        <v/>
      </c>
      <c r="AL17" s="81">
        <f>AL7</f>
        <v/>
      </c>
      <c r="AS17" s="83">
        <f>AS7</f>
        <v/>
      </c>
      <c r="AT17" s="32">
        <f>AT7</f>
        <v/>
      </c>
      <c r="AU17" s="32">
        <f>AU7</f>
        <v/>
      </c>
    </row>
    <row r="18">
      <c r="T18" s="39" t="inlineStr">
        <is>
          <t>PART 2021: 10.2 (10.20 - 11.3)</t>
        </is>
      </c>
      <c r="U18" s="46" t="n">
        <v>60</v>
      </c>
      <c r="V18" s="46" t="n">
        <v>43</v>
      </c>
      <c r="W18" s="46" t="n">
        <v>16</v>
      </c>
      <c r="X18" s="46" t="n">
        <v>27</v>
      </c>
      <c r="Y18" s="46" t="n">
        <v>2</v>
      </c>
      <c r="Z18" s="46" t="n">
        <v>5</v>
      </c>
      <c r="AA18" s="46" t="n">
        <v>3</v>
      </c>
      <c r="AB18" s="46" t="n">
        <v>14</v>
      </c>
      <c r="AC18" s="46" t="n">
        <v>14</v>
      </c>
      <c r="AD18" s="47">
        <f>Y18/W18</f>
        <v/>
      </c>
      <c r="AE18" s="47">
        <f>Z18/X18</f>
        <v/>
      </c>
      <c r="AF18" s="47">
        <f>AA18/W18</f>
        <v/>
      </c>
      <c r="AG18" s="47">
        <f>AB18/X18</f>
        <v/>
      </c>
      <c r="AH18" s="53">
        <f>V18/U18</f>
        <v/>
      </c>
      <c r="AJ18" s="69" t="inlineStr">
        <is>
          <t>PART 2021: 8.2 (8.11 - 8.25)</t>
        </is>
      </c>
      <c r="AK18" s="81">
        <f>AK8</f>
        <v/>
      </c>
      <c r="AL18" s="81">
        <f>AL8</f>
        <v/>
      </c>
      <c r="AS18" s="83">
        <f>AS8</f>
        <v/>
      </c>
      <c r="AT18" s="32">
        <f>AT8</f>
        <v/>
      </c>
      <c r="AU18" s="32">
        <f>AU8</f>
        <v/>
      </c>
    </row>
    <row r="19">
      <c r="T19" s="82" t="inlineStr">
        <is>
          <t>PART 2021: 11.1 (11.3 - 11.17)</t>
        </is>
      </c>
      <c r="U19" s="64" t="n">
        <v>42</v>
      </c>
      <c r="V19" s="46" t="n">
        <v>24</v>
      </c>
      <c r="W19" s="46" t="n">
        <v>5</v>
      </c>
      <c r="X19" s="46" t="n">
        <v>19</v>
      </c>
      <c r="Y19" s="46" t="n">
        <v>4</v>
      </c>
      <c r="Z19" s="46" t="n">
        <v>3</v>
      </c>
      <c r="AA19" s="46" t="n">
        <v>6</v>
      </c>
      <c r="AB19" s="46" t="n">
        <v>12</v>
      </c>
      <c r="AC19" s="46" t="n">
        <v>1</v>
      </c>
      <c r="AD19" s="47">
        <f>Y19/W19</f>
        <v/>
      </c>
      <c r="AE19" s="47">
        <f>Z19/X19</f>
        <v/>
      </c>
      <c r="AF19" s="47">
        <f>AA19/W19</f>
        <v/>
      </c>
      <c r="AG19" s="47">
        <f>AB19/X19</f>
        <v/>
      </c>
      <c r="AH19" s="53">
        <f>V19/U19</f>
        <v/>
      </c>
    </row>
    <row r="20">
      <c r="T20" s="37" t="inlineStr">
        <is>
          <t>PART 2021: 11.2 (11.17- 12.1)</t>
        </is>
      </c>
      <c r="U20" s="46" t="n">
        <v>58</v>
      </c>
      <c r="V20" s="46" t="n">
        <v>33</v>
      </c>
      <c r="W20" s="46" t="n">
        <v>10</v>
      </c>
      <c r="X20" s="46" t="n">
        <v>23</v>
      </c>
      <c r="Y20" s="46" t="n">
        <v>2</v>
      </c>
      <c r="Z20" s="46" t="n">
        <v>1</v>
      </c>
      <c r="AA20" s="46" t="n">
        <v>5</v>
      </c>
      <c r="AB20" s="46" t="n">
        <v>20</v>
      </c>
      <c r="AC20" s="46" t="n">
        <v>8</v>
      </c>
      <c r="AD20" s="47">
        <f>Y20/W20</f>
        <v/>
      </c>
      <c r="AE20" s="47">
        <f>Z20/X20</f>
        <v/>
      </c>
      <c r="AF20" s="47">
        <f>AA20/W20</f>
        <v/>
      </c>
      <c r="AG20" s="47">
        <f>AB20/X20</f>
        <v/>
      </c>
      <c r="AH20" s="53">
        <f>V20/U20</f>
        <v/>
      </c>
    </row>
    <row r="21">
      <c r="T21" s="37" t="inlineStr">
        <is>
          <t>PART 2021: 12.1 (12.1 - 12.15)</t>
        </is>
      </c>
      <c r="U21" s="46" t="n">
        <v>53</v>
      </c>
      <c r="V21" s="46" t="n">
        <v>31</v>
      </c>
      <c r="W21" s="46" t="n">
        <v>8</v>
      </c>
      <c r="X21" s="46" t="n">
        <v>23</v>
      </c>
      <c r="Y21" s="46" t="n">
        <v>4</v>
      </c>
      <c r="Z21" s="46" t="n">
        <v>4</v>
      </c>
      <c r="AA21" s="46" t="n">
        <v>6</v>
      </c>
      <c r="AB21" s="46" t="n">
        <v>16</v>
      </c>
      <c r="AC21" s="46" t="n">
        <v>4</v>
      </c>
      <c r="AD21" s="47">
        <f>Y21/W21</f>
        <v/>
      </c>
      <c r="AE21" s="47">
        <f>Z21/X21</f>
        <v/>
      </c>
      <c r="AF21" s="47">
        <f>AA21/W21</f>
        <v/>
      </c>
      <c r="AG21" s="47">
        <f>AB21/X21</f>
        <v/>
      </c>
      <c r="AH21" s="53">
        <f>V21/U21</f>
        <v/>
      </c>
      <c r="AS21" s="4" t="inlineStr">
        <is>
          <t>Row Labels</t>
        </is>
      </c>
      <c r="AT21" t="inlineStr">
        <is>
          <t>Sum of V2 Carryover Percentage</t>
        </is>
      </c>
      <c r="AU21" t="inlineStr">
        <is>
          <t>Sum of LT Carryover Percentage</t>
        </is>
      </c>
    </row>
    <row r="22">
      <c r="T22" s="37" t="inlineStr">
        <is>
          <t>PART 2021 12.2 (12.15 - 1.5)</t>
        </is>
      </c>
      <c r="U22" s="64" t="n">
        <v>41</v>
      </c>
      <c r="V22" s="46" t="n">
        <v>21</v>
      </c>
      <c r="W22" s="46" t="n">
        <v>13</v>
      </c>
      <c r="X22" s="46" t="n">
        <v>8</v>
      </c>
      <c r="Y22" s="46" t="n">
        <v>3</v>
      </c>
      <c r="Z22" s="46" t="n">
        <v>0</v>
      </c>
      <c r="AA22" s="46" t="n">
        <v>4</v>
      </c>
      <c r="AB22" s="46" t="n">
        <v>16</v>
      </c>
      <c r="AC22" s="46" t="n">
        <v>10</v>
      </c>
      <c r="AD22" s="47">
        <f>Y22/W22</f>
        <v/>
      </c>
      <c r="AE22" s="47">
        <f>Z22/X22</f>
        <v/>
      </c>
      <c r="AF22" s="47">
        <f>AA22/W22</f>
        <v/>
      </c>
      <c r="AG22" s="47">
        <f>AB22/X22</f>
        <v/>
      </c>
      <c r="AH22" s="53">
        <f>V22/U22</f>
        <v/>
      </c>
      <c r="AJ22" s="4" t="inlineStr">
        <is>
          <t>Row Labels</t>
        </is>
      </c>
      <c r="AK22" t="inlineStr">
        <is>
          <t>Sum of Planned Vs Completed ratio</t>
        </is>
      </c>
      <c r="AS22" s="2" t="inlineStr">
        <is>
          <t>Velarium Spt 7.2 | 7.13-7.27</t>
        </is>
      </c>
      <c r="AT22" t="n">
        <v>0</v>
      </c>
      <c r="AU22" t="n">
        <v>0</v>
      </c>
    </row>
    <row r="23">
      <c r="T23" s="66" t="inlineStr">
        <is>
          <t>PART 2022 1.1 (1.5 - 1.12)</t>
        </is>
      </c>
      <c r="U23" s="74" t="n">
        <v>31</v>
      </c>
      <c r="V23" s="72" t="n">
        <v>20</v>
      </c>
      <c r="W23" s="72" t="n">
        <v>3</v>
      </c>
      <c r="X23" s="72" t="n">
        <v>17</v>
      </c>
      <c r="Y23" s="72" t="n">
        <v>0</v>
      </c>
      <c r="Z23" s="72" t="n">
        <v>8</v>
      </c>
      <c r="AA23" s="72" t="n">
        <v>2</v>
      </c>
      <c r="AB23" s="72" t="n">
        <v>9</v>
      </c>
      <c r="AC23" s="72" t="n">
        <v>0</v>
      </c>
      <c r="AD23" s="47">
        <f>Y23/W23</f>
        <v/>
      </c>
      <c r="AE23" s="47">
        <f>Z23/X23</f>
        <v/>
      </c>
      <c r="AF23" s="47">
        <f>AA23/W23</f>
        <v/>
      </c>
      <c r="AG23" s="47">
        <f>AB23/X23</f>
        <v/>
      </c>
      <c r="AH23" s="53">
        <f>V23/U23</f>
        <v/>
      </c>
      <c r="AJ23" s="2" t="inlineStr">
        <is>
          <t>Velarium Spt 7.2 | 7.13-7.27</t>
        </is>
      </c>
      <c r="AK23" t="n">
        <v>1</v>
      </c>
      <c r="AS23" s="2" t="inlineStr">
        <is>
          <t>Velarium Spt 7.3 | 7.27-8.10</t>
        </is>
      </c>
      <c r="AT23" t="n">
        <v>0</v>
      </c>
      <c r="AU23" t="n">
        <v>0</v>
      </c>
    </row>
    <row r="24">
      <c r="T24" s="37" t="inlineStr">
        <is>
          <t>PART 2022 1.2 (1.12 - 1.26)</t>
        </is>
      </c>
      <c r="U24" s="46" t="n">
        <v>28</v>
      </c>
      <c r="V24" s="46" t="n">
        <v>19</v>
      </c>
      <c r="W24" s="46" t="n">
        <v>6</v>
      </c>
      <c r="X24" s="46" t="n">
        <v>13</v>
      </c>
      <c r="Y24" s="46" t="n">
        <v>2</v>
      </c>
      <c r="Z24" s="46" t="n">
        <v>3</v>
      </c>
      <c r="AA24" s="46" t="n">
        <v>2</v>
      </c>
      <c r="AB24" s="46" t="n">
        <v>7</v>
      </c>
      <c r="AC24" s="46" t="n">
        <v>4</v>
      </c>
      <c r="AD24" s="47">
        <f>Y24/W24</f>
        <v/>
      </c>
      <c r="AE24" s="47">
        <f>Z24/X24</f>
        <v/>
      </c>
      <c r="AF24" s="47">
        <f>AA24/W24</f>
        <v/>
      </c>
      <c r="AG24" s="47">
        <f>AB24/X24</f>
        <v/>
      </c>
      <c r="AH24" s="53">
        <f>V24/U24</f>
        <v/>
      </c>
      <c r="AJ24" s="2" t="inlineStr">
        <is>
          <t>Velarium Spt 7.3 | 7.27-8.10</t>
        </is>
      </c>
      <c r="AK24" t="n">
        <v>1</v>
      </c>
      <c r="AS24" s="2" t="inlineStr">
        <is>
          <t>Velarium Spt 8.1 | 8.10-8.24</t>
        </is>
      </c>
      <c r="AT24" t="n">
        <v>0</v>
      </c>
      <c r="AU24" t="n">
        <v>0</v>
      </c>
    </row>
    <row r="25">
      <c r="T25" s="37" t="inlineStr">
        <is>
          <t>PART 2022 2.1 (1.26 - 2.9)</t>
        </is>
      </c>
      <c r="U25" s="72" t="n">
        <v>22</v>
      </c>
      <c r="V25" s="72" t="n">
        <v>11</v>
      </c>
      <c r="W25" s="72" t="n">
        <v>0</v>
      </c>
      <c r="X25" s="72" t="n">
        <v>11</v>
      </c>
      <c r="Y25" s="72" t="n">
        <v>0</v>
      </c>
      <c r="Z25" s="72" t="n">
        <v>0</v>
      </c>
      <c r="AA25" s="72" t="n">
        <v>7</v>
      </c>
      <c r="AB25" s="72" t="n">
        <v>4</v>
      </c>
      <c r="AC25" s="72" t="n">
        <v>0</v>
      </c>
      <c r="AD25" s="47">
        <f>Y25/W25</f>
        <v/>
      </c>
      <c r="AE25" s="47">
        <f>Z25/X25</f>
        <v/>
      </c>
      <c r="AF25" s="47">
        <f>AA25/W25</f>
        <v/>
      </c>
      <c r="AG25" s="47">
        <f>AB25/X25</f>
        <v/>
      </c>
      <c r="AH25" s="53">
        <f>V25/U25</f>
        <v/>
      </c>
      <c r="AJ25" s="2" t="inlineStr">
        <is>
          <t>Velarium Spt 8.1 | 8.10-8.24</t>
        </is>
      </c>
      <c r="AK25" t="n">
        <v>1</v>
      </c>
      <c r="AS25" s="2" t="inlineStr">
        <is>
          <t>Velarium Spt 8.2 | 8.24-9.7</t>
        </is>
      </c>
      <c r="AT25" t="n">
        <v>0</v>
      </c>
      <c r="AU25" t="n">
        <v>0</v>
      </c>
    </row>
    <row r="26">
      <c r="T26" s="73" t="inlineStr">
        <is>
          <t>PART 2022 2.2 (2.9 - 2.23)</t>
        </is>
      </c>
      <c r="U26" s="46" t="n">
        <v>31</v>
      </c>
      <c r="V26" s="46" t="n">
        <v>13</v>
      </c>
      <c r="W26" s="46" t="n">
        <v>5</v>
      </c>
      <c r="X26" s="46" t="n">
        <v>8</v>
      </c>
      <c r="Y26" s="46" t="n">
        <v>0</v>
      </c>
      <c r="Z26" s="46" t="n">
        <v>2</v>
      </c>
      <c r="AA26" s="46" t="n">
        <v>6</v>
      </c>
      <c r="AB26" s="46" t="n">
        <v>12</v>
      </c>
      <c r="AC26" s="72" t="n">
        <v>5</v>
      </c>
      <c r="AD26" s="47">
        <f>Y26/W26</f>
        <v/>
      </c>
      <c r="AE26" s="47">
        <f>Z26/X26</f>
        <v/>
      </c>
      <c r="AF26" s="47">
        <f>AA26/W26</f>
        <v/>
      </c>
      <c r="AG26" s="47">
        <f>AB26/X26</f>
        <v/>
      </c>
      <c r="AH26" s="53">
        <f>V26/U26</f>
        <v/>
      </c>
      <c r="AJ26" s="2" t="inlineStr">
        <is>
          <t>Velarium Spt 8.2 | 8.24-9.7</t>
        </is>
      </c>
      <c r="AK26" t="n">
        <v>1</v>
      </c>
      <c r="AS26" s="2" t="inlineStr">
        <is>
          <t>Velarium Spt 9.1 | 9.7-9.21</t>
        </is>
      </c>
      <c r="AT26" t="n">
        <v>0</v>
      </c>
      <c r="AU26" t="n">
        <v>0</v>
      </c>
    </row>
    <row r="27">
      <c r="T27" s="80" t="inlineStr">
        <is>
          <t>PART 2022 3.1 (2.23 - 3.9)</t>
        </is>
      </c>
      <c r="U27" s="72" t="n">
        <v>27</v>
      </c>
      <c r="V27" s="72" t="n">
        <v>18</v>
      </c>
      <c r="W27" s="72" t="n">
        <v>8</v>
      </c>
      <c r="X27" s="72" t="n">
        <v>10</v>
      </c>
      <c r="Y27" s="72" t="n">
        <v>4</v>
      </c>
      <c r="Z27" s="72" t="n">
        <v>0</v>
      </c>
      <c r="AA27" s="72" t="n">
        <v>3</v>
      </c>
      <c r="AB27" s="122" t="n">
        <v>6</v>
      </c>
      <c r="AC27" s="72" t="n">
        <v>4</v>
      </c>
      <c r="AD27" s="47">
        <f>Y27/W27</f>
        <v/>
      </c>
      <c r="AE27" s="47">
        <f>Z27/X27</f>
        <v/>
      </c>
      <c r="AF27" s="47">
        <f>AA27/W27</f>
        <v/>
      </c>
      <c r="AG27" s="47">
        <f>AB27/X27</f>
        <v/>
      </c>
      <c r="AH27" s="53">
        <f>V27/U27</f>
        <v/>
      </c>
      <c r="AJ27" s="2" t="inlineStr">
        <is>
          <t>Velarium Spt 9.1 | 9.7-9.21</t>
        </is>
      </c>
      <c r="AK27" t="n">
        <v>1</v>
      </c>
      <c r="AS27" s="2" t="inlineStr">
        <is>
          <t>Velarium Spt 9.2 | 9.21-10.5</t>
        </is>
      </c>
      <c r="AT27" t="n">
        <v>0</v>
      </c>
      <c r="AU27" t="n">
        <v>0</v>
      </c>
    </row>
    <row r="28">
      <c r="T28" s="37" t="inlineStr">
        <is>
          <t>PART 2022 3.2 (3.9 - 3.23)</t>
        </is>
      </c>
      <c r="U28" s="64" t="n">
        <v>14</v>
      </c>
      <c r="V28" s="64" t="n">
        <v>14</v>
      </c>
      <c r="W28" s="64" t="n">
        <v>9</v>
      </c>
      <c r="X28" s="64" t="n">
        <v>5</v>
      </c>
      <c r="Y28" s="64" t="n">
        <v>2</v>
      </c>
      <c r="Z28" s="64" t="n">
        <v>0</v>
      </c>
      <c r="AA28" s="64" t="n">
        <v>0</v>
      </c>
      <c r="AB28" s="64" t="n">
        <v>0</v>
      </c>
      <c r="AC28" s="64" t="n">
        <v>7</v>
      </c>
      <c r="AD28" s="47">
        <f>Y28/W28</f>
        <v/>
      </c>
      <c r="AE28" s="47">
        <f>Z28/X28</f>
        <v/>
      </c>
      <c r="AF28" s="47">
        <f>AA28/W28</f>
        <v/>
      </c>
      <c r="AG28" s="47">
        <f>AB28/X28</f>
        <v/>
      </c>
      <c r="AH28" s="53">
        <f>V28/U28</f>
        <v/>
      </c>
      <c r="AJ28" s="2" t="inlineStr">
        <is>
          <t>Velarium Spt 9.2 | 9.21-10.5</t>
        </is>
      </c>
      <c r="AK28" t="n">
        <v>1</v>
      </c>
      <c r="AS28" s="2" t="inlineStr">
        <is>
          <t>Grand Total</t>
        </is>
      </c>
      <c r="AT28" t="n">
        <v>0</v>
      </c>
      <c r="AU28" t="n">
        <v>0</v>
      </c>
    </row>
    <row r="29">
      <c r="T29" s="37" t="inlineStr">
        <is>
          <t>PART 2022 3.3 (3.23 - 4.6)</t>
        </is>
      </c>
      <c r="U29" s="64" t="n">
        <v>12</v>
      </c>
      <c r="V29" s="64" t="n">
        <v>9</v>
      </c>
      <c r="W29" s="64" t="n">
        <v>0</v>
      </c>
      <c r="X29" s="64" t="n">
        <v>9</v>
      </c>
      <c r="Y29" s="64" t="n">
        <v>0</v>
      </c>
      <c r="Z29" s="64" t="n">
        <v>0</v>
      </c>
      <c r="AA29" s="64" t="n">
        <v>0</v>
      </c>
      <c r="AB29" s="64" t="n">
        <v>3</v>
      </c>
      <c r="AC29" s="123" t="n">
        <v>0</v>
      </c>
      <c r="AD29" s="47">
        <f>Y29/W29</f>
        <v/>
      </c>
      <c r="AE29" s="47">
        <f>Z29/X29</f>
        <v/>
      </c>
      <c r="AF29" s="47">
        <f>AA29/W29</f>
        <v/>
      </c>
      <c r="AG29" s="47">
        <f>AB29/X29</f>
        <v/>
      </c>
      <c r="AH29" s="53">
        <f>V29/U29</f>
        <v/>
      </c>
      <c r="AJ29" s="2" t="inlineStr">
        <is>
          <t>Grand Total</t>
        </is>
      </c>
      <c r="AK29" t="n">
        <v>6</v>
      </c>
    </row>
    <row r="30">
      <c r="T30" s="37" t="inlineStr">
        <is>
          <t>PART 2022 4.1 | 4.6-4.20</t>
        </is>
      </c>
      <c r="U30" s="64" t="n">
        <v>20</v>
      </c>
      <c r="V30" s="64" t="n">
        <v>20</v>
      </c>
      <c r="W30" s="64" t="n">
        <v>4</v>
      </c>
      <c r="X30" s="64" t="n">
        <v>16</v>
      </c>
      <c r="Y30" s="64" t="n">
        <v>2</v>
      </c>
      <c r="Z30" s="64" t="n">
        <v>5</v>
      </c>
      <c r="AA30" s="64" t="n">
        <v>0</v>
      </c>
      <c r="AB30" s="64" t="n">
        <v>0</v>
      </c>
      <c r="AC30" s="123" t="n">
        <v>2</v>
      </c>
      <c r="AD30" s="47">
        <f>Y30/W30</f>
        <v/>
      </c>
      <c r="AE30" s="47">
        <f>Z30/X30</f>
        <v/>
      </c>
      <c r="AF30" s="47">
        <f>AA30/W30</f>
        <v/>
      </c>
      <c r="AG30" s="47">
        <f>AB30/X30</f>
        <v/>
      </c>
      <c r="AH30" s="53">
        <f>V30/U30</f>
        <v/>
      </c>
    </row>
    <row r="31">
      <c r="T31" s="37" t="inlineStr">
        <is>
          <t>PART Sprint 4.2 | 4.20-5.4</t>
        </is>
      </c>
      <c r="U31" s="64" t="n">
        <v>34</v>
      </c>
      <c r="V31" s="64" t="n">
        <v>31</v>
      </c>
      <c r="W31" s="64" t="n">
        <v>8</v>
      </c>
      <c r="X31" s="64" t="n">
        <v>23</v>
      </c>
      <c r="Y31" s="64" t="n">
        <v>2</v>
      </c>
      <c r="Z31" s="64" t="n">
        <v>0</v>
      </c>
      <c r="AA31" s="64" t="n">
        <v>0</v>
      </c>
      <c r="AB31" s="64" t="n">
        <v>3</v>
      </c>
      <c r="AC31" s="123" t="n">
        <v>6</v>
      </c>
      <c r="AD31" s="47">
        <f>Y31/W31</f>
        <v/>
      </c>
      <c r="AE31" s="47">
        <f>Z31/X31</f>
        <v/>
      </c>
      <c r="AF31" s="47">
        <f>AA31/W31</f>
        <v/>
      </c>
      <c r="AG31" s="47">
        <f>AB31/X31</f>
        <v/>
      </c>
      <c r="AH31" s="53">
        <f>V31/U31</f>
        <v/>
      </c>
      <c r="AS31" s="14" t="inlineStr">
        <is>
          <t>Sprint</t>
        </is>
      </c>
      <c r="AT31" s="15" t="inlineStr">
        <is>
          <t>V2</t>
        </is>
      </c>
      <c r="AU31" s="16" t="inlineStr">
        <is>
          <t>LT</t>
        </is>
      </c>
    </row>
    <row r="32">
      <c r="T32" s="37" t="inlineStr">
        <is>
          <t>PB Sprint 5.1 | 5.4-5.18</t>
        </is>
      </c>
      <c r="U32" s="64" t="n">
        <v>29</v>
      </c>
      <c r="V32" s="64" t="n">
        <v>29</v>
      </c>
      <c r="W32" s="64" t="n">
        <v>4</v>
      </c>
      <c r="X32" s="64" t="n">
        <v>25</v>
      </c>
      <c r="Y32" s="64" t="n">
        <v>0</v>
      </c>
      <c r="Z32" s="64" t="n">
        <v>11</v>
      </c>
      <c r="AA32" s="64" t="n">
        <v>0</v>
      </c>
      <c r="AB32" s="64" t="n">
        <v>0</v>
      </c>
      <c r="AC32" s="123" t="n">
        <v>4</v>
      </c>
      <c r="AD32" s="47">
        <f>Y32/W32</f>
        <v/>
      </c>
      <c r="AE32" s="47">
        <f>Z32/X32</f>
        <v/>
      </c>
      <c r="AF32" s="47">
        <f>AA32/W32</f>
        <v/>
      </c>
      <c r="AG32" s="47">
        <f>AB32/X32</f>
        <v/>
      </c>
      <c r="AH32" s="53">
        <f>V32/U32</f>
        <v/>
      </c>
      <c r="AJ32" s="36" t="inlineStr">
        <is>
          <t>Sprint</t>
        </is>
      </c>
      <c r="AK32" s="36" t="inlineStr">
        <is>
          <t>Planned Vs Completed ratio</t>
        </is>
      </c>
      <c r="AS32" s="17">
        <f>AS22</f>
        <v/>
      </c>
      <c r="AT32" s="23">
        <f>AT22</f>
        <v/>
      </c>
      <c r="AU32" s="24">
        <f>AU22</f>
        <v/>
      </c>
    </row>
    <row r="33">
      <c r="T33" s="37" t="inlineStr">
        <is>
          <t>PB Sprint 5.2 | 5.18-6.1</t>
        </is>
      </c>
      <c r="U33" s="64" t="n">
        <v>20</v>
      </c>
      <c r="V33" s="64" t="n">
        <v>20</v>
      </c>
      <c r="W33" s="64" t="n">
        <v>2</v>
      </c>
      <c r="X33" s="64" t="n">
        <v>18</v>
      </c>
      <c r="Y33" s="64" t="n">
        <v>0</v>
      </c>
      <c r="Z33" s="64" t="n">
        <v>9</v>
      </c>
      <c r="AA33" s="64" t="n">
        <v>0</v>
      </c>
      <c r="AB33" s="64" t="n">
        <v>0</v>
      </c>
      <c r="AC33" s="123" t="n">
        <v>2</v>
      </c>
      <c r="AD33" s="47">
        <f>Y33/W33</f>
        <v/>
      </c>
      <c r="AE33" s="47">
        <f>Z33/X33</f>
        <v/>
      </c>
      <c r="AF33" s="47">
        <f>AA33/W33</f>
        <v/>
      </c>
      <c r="AG33" s="47">
        <f>AB33/X33</f>
        <v/>
      </c>
      <c r="AH33" s="53">
        <f>V33/U33</f>
        <v/>
      </c>
      <c r="AJ33" s="83">
        <f>AJ23</f>
        <v/>
      </c>
      <c r="AK33" s="53">
        <f>GETPIVOTDATA("Planned Vs Completed ratio",$AJ$22,"Week Starting On","Velarium Spt 6.2 | 6.15-6.29")</f>
        <v/>
      </c>
      <c r="AS33" s="17">
        <f>AS23</f>
        <v/>
      </c>
      <c r="AT33" s="23">
        <f>AT23</f>
        <v/>
      </c>
      <c r="AU33" s="24">
        <f>AU23</f>
        <v/>
      </c>
    </row>
    <row r="34">
      <c r="T34" s="37" t="inlineStr">
        <is>
          <t>PART Sprint 6.1 | 6.1-6.15</t>
        </is>
      </c>
      <c r="U34" s="64" t="n">
        <v>21</v>
      </c>
      <c r="V34" s="64" t="n">
        <v>21</v>
      </c>
      <c r="W34" s="64" t="n">
        <v>6</v>
      </c>
      <c r="X34" s="64" t="n">
        <v>15</v>
      </c>
      <c r="Y34" s="64" t="n">
        <v>6</v>
      </c>
      <c r="Z34" s="64" t="n">
        <v>4</v>
      </c>
      <c r="AA34" s="64" t="n">
        <v>0</v>
      </c>
      <c r="AB34" s="64" t="n">
        <v>0</v>
      </c>
      <c r="AC34" s="123" t="n">
        <v>0</v>
      </c>
      <c r="AD34" s="47">
        <f>Y34/W34</f>
        <v/>
      </c>
      <c r="AE34" s="47">
        <f>Z34/X34</f>
        <v/>
      </c>
      <c r="AF34" s="47">
        <f>AA34/W34</f>
        <v/>
      </c>
      <c r="AG34" s="47">
        <f>AB34/X34</f>
        <v/>
      </c>
      <c r="AH34" s="53">
        <f>V34/U34</f>
        <v/>
      </c>
      <c r="AJ34" s="83">
        <f>AJ24</f>
        <v/>
      </c>
      <c r="AK34" s="53">
        <f>GETPIVOTDATA("Planned Vs Completed ratio",$AJ$22,"Week Starting On","Velarium Spt 7.1 | 6.29-7.13")</f>
        <v/>
      </c>
      <c r="AS34" s="17">
        <f>AS24</f>
        <v/>
      </c>
      <c r="AT34" s="23">
        <f>AT24</f>
        <v/>
      </c>
      <c r="AU34" s="24">
        <f>AU24</f>
        <v/>
      </c>
    </row>
    <row r="35">
      <c r="T35" s="37" t="inlineStr">
        <is>
          <t>Velarium Spt 6.2 | 6.15-6.29</t>
        </is>
      </c>
      <c r="U35" s="64" t="n">
        <v>17</v>
      </c>
      <c r="V35" s="64" t="n">
        <v>17</v>
      </c>
      <c r="W35" s="64" t="n">
        <v>3</v>
      </c>
      <c r="X35" s="64" t="n">
        <v>14</v>
      </c>
      <c r="Y35" s="64" t="n">
        <v>2</v>
      </c>
      <c r="Z35" s="64" t="n">
        <v>12</v>
      </c>
      <c r="AA35" s="64" t="n">
        <v>0</v>
      </c>
      <c r="AB35" s="64" t="n">
        <v>0</v>
      </c>
      <c r="AC35" s="123" t="n">
        <v>1</v>
      </c>
      <c r="AD35" s="47">
        <f>Y35/W35</f>
        <v/>
      </c>
      <c r="AE35" s="47">
        <f>Z35/X35</f>
        <v/>
      </c>
      <c r="AF35" s="47">
        <f>AA35/W35</f>
        <v/>
      </c>
      <c r="AG35" s="47">
        <f>AB35/X35</f>
        <v/>
      </c>
      <c r="AH35" s="53">
        <f>V35/U35</f>
        <v/>
      </c>
      <c r="AJ35" s="83">
        <f>AJ25</f>
        <v/>
      </c>
      <c r="AK35" s="53">
        <f>GETPIVOTDATA("Planned Vs Completed ratio",$AJ$22,"Week Starting On","PART 2021: 8.1 (7.28 - 8.11)")</f>
        <v/>
      </c>
      <c r="AS35" s="17">
        <f>AS25</f>
        <v/>
      </c>
      <c r="AT35" s="23">
        <f>AT25</f>
        <v/>
      </c>
      <c r="AU35" s="24">
        <f>AU25</f>
        <v/>
      </c>
    </row>
    <row r="36">
      <c r="T36" s="37" t="inlineStr">
        <is>
          <t>Velarium Spt 7.1 | 6.29-7.13</t>
        </is>
      </c>
      <c r="U36" s="64" t="n">
        <v>18</v>
      </c>
      <c r="V36" s="64" t="n">
        <v>18</v>
      </c>
      <c r="W36" s="64" t="n">
        <v>0</v>
      </c>
      <c r="X36" s="64" t="n">
        <v>18</v>
      </c>
      <c r="Y36" s="64" t="n">
        <v>0</v>
      </c>
      <c r="Z36" s="64" t="n">
        <v>8</v>
      </c>
      <c r="AA36" s="64" t="n">
        <v>0</v>
      </c>
      <c r="AB36" s="64" t="n">
        <v>0</v>
      </c>
      <c r="AC36" s="123" t="n">
        <v>0</v>
      </c>
      <c r="AD36" s="47">
        <f>Y36/W36</f>
        <v/>
      </c>
      <c r="AE36" s="47">
        <f>Z36/X36</f>
        <v/>
      </c>
      <c r="AF36" s="47">
        <f>AA36/W36</f>
        <v/>
      </c>
      <c r="AG36" s="47">
        <f>AB36/X36</f>
        <v/>
      </c>
      <c r="AH36" s="53">
        <f>V36/U36</f>
        <v/>
      </c>
      <c r="AJ36" s="83">
        <f>AJ26</f>
        <v/>
      </c>
      <c r="AK36" s="53">
        <f>GETPIVOTDATA("Planned Vs Completed ratio",$AJ$22,"Week Starting On","PART 2021: 7.1 (6.30 - 7.14)")</f>
        <v/>
      </c>
      <c r="AS36" s="17">
        <f>AS26</f>
        <v/>
      </c>
      <c r="AT36" s="23">
        <f>AT26</f>
        <v/>
      </c>
      <c r="AU36" s="24">
        <f>AU26</f>
        <v/>
      </c>
    </row>
    <row r="37">
      <c r="T37" s="37" t="inlineStr">
        <is>
          <t>Velarium Spt 7.2 | 7.13-7.27</t>
        </is>
      </c>
      <c r="U37" s="64" t="n">
        <v>20</v>
      </c>
      <c r="V37" s="64" t="n">
        <v>20</v>
      </c>
      <c r="W37" s="64" t="n">
        <v>1</v>
      </c>
      <c r="X37" s="64" t="n">
        <v>19</v>
      </c>
      <c r="Y37" s="64" t="n">
        <v>0</v>
      </c>
      <c r="Z37" s="64" t="n">
        <v>4</v>
      </c>
      <c r="AA37" s="64" t="n">
        <v>0</v>
      </c>
      <c r="AB37" s="64" t="n">
        <v>0</v>
      </c>
      <c r="AC37" s="123" t="n">
        <v>1</v>
      </c>
      <c r="AD37" s="47">
        <f>Y37/W37</f>
        <v/>
      </c>
      <c r="AE37" s="47">
        <f>Z37/X37</f>
        <v/>
      </c>
      <c r="AF37" s="47">
        <f>AA37/W37</f>
        <v/>
      </c>
      <c r="AG37" s="47">
        <f>AB37/X37</f>
        <v/>
      </c>
      <c r="AH37" s="53">
        <f>V37/U37</f>
        <v/>
      </c>
      <c r="AJ37" s="83">
        <f>AJ27</f>
        <v/>
      </c>
      <c r="AK37" s="53">
        <f>GETPIVOTDATA("Planned Vs Completed ratio",$AJ$22,"Week Starting On","PART 2021: 7.2 (7.14 - 7.28)")</f>
        <v/>
      </c>
      <c r="AS37" s="17">
        <f>AS27</f>
        <v/>
      </c>
      <c r="AT37" s="23">
        <f>AT27</f>
        <v/>
      </c>
      <c r="AU37" s="24">
        <f>AU27</f>
        <v/>
      </c>
    </row>
    <row r="38">
      <c r="T38" s="37" t="inlineStr">
        <is>
          <t>Velarium Spt 7.3 | 7.27-8.10</t>
        </is>
      </c>
      <c r="U38" s="64" t="n">
        <v>23</v>
      </c>
      <c r="V38" s="64" t="n">
        <v>23</v>
      </c>
      <c r="W38" s="64" t="n">
        <v>4</v>
      </c>
      <c r="X38" s="64" t="n">
        <v>19</v>
      </c>
      <c r="Y38" s="64" t="n">
        <v>0</v>
      </c>
      <c r="Z38" s="64" t="n">
        <v>2</v>
      </c>
      <c r="AA38" s="64" t="n">
        <v>0</v>
      </c>
      <c r="AB38" s="64" t="n">
        <v>0</v>
      </c>
      <c r="AC38" s="123" t="n">
        <v>4</v>
      </c>
      <c r="AD38" s="47">
        <f>Y38/W38</f>
        <v/>
      </c>
      <c r="AE38" s="47">
        <f>Z38/X38</f>
        <v/>
      </c>
      <c r="AF38" s="47">
        <f>AA38/W38</f>
        <v/>
      </c>
      <c r="AG38" s="47">
        <f>AB38/X38</f>
        <v/>
      </c>
      <c r="AH38" s="53">
        <f>V38/U38</f>
        <v/>
      </c>
      <c r="AJ38" s="83">
        <f>AJ28</f>
        <v/>
      </c>
      <c r="AK38" s="53">
        <f>GETPIVOTDATA("Planned Vs Completed ratio",$AJ$22,"Week Starting On","PART 2021: 8.1 (7.28 - 8.11)")</f>
        <v/>
      </c>
      <c r="AS38" s="18">
        <f>AS28</f>
        <v/>
      </c>
      <c r="AT38" s="25">
        <f>AT28</f>
        <v/>
      </c>
      <c r="AU38" s="26">
        <f>AU28</f>
        <v/>
      </c>
    </row>
    <row r="39">
      <c r="T39" s="37" t="inlineStr">
        <is>
          <t>Velarium Spt 8.1 | 8.10-8.24</t>
        </is>
      </c>
      <c r="U39" s="64" t="n">
        <v>19</v>
      </c>
      <c r="V39" s="64" t="n">
        <v>19</v>
      </c>
      <c r="W39" s="64" t="n">
        <v>5</v>
      </c>
      <c r="X39" s="64" t="n">
        <v>14</v>
      </c>
      <c r="Y39" s="64" t="n">
        <v>0</v>
      </c>
      <c r="Z39" s="64" t="n">
        <v>2</v>
      </c>
      <c r="AA39" s="64" t="n">
        <v>0</v>
      </c>
      <c r="AB39" s="64" t="n">
        <v>0</v>
      </c>
      <c r="AC39" s="123" t="n">
        <v>5</v>
      </c>
      <c r="AD39" s="47">
        <f>Y39/W39</f>
        <v/>
      </c>
      <c r="AE39" s="47">
        <f>Z39/X39</f>
        <v/>
      </c>
      <c r="AF39" s="47">
        <f>AA39/W39</f>
        <v/>
      </c>
      <c r="AG39" s="47">
        <f>AB39/X39</f>
        <v/>
      </c>
      <c r="AH39" s="53">
        <f>V39/U39</f>
        <v/>
      </c>
      <c r="AJ39" s="83">
        <f>AJ29</f>
        <v/>
      </c>
      <c r="AK39" s="53">
        <f>GETPIVOTDATA("Planned Vs Completed ratio",$AJ$22,"Week Starting On","PART 2021: 8.2 (8.11 - 8.25)")</f>
        <v/>
      </c>
    </row>
    <row r="40">
      <c r="T40" s="37" t="inlineStr">
        <is>
          <t>Velarium Spt 8.2 | 8.24-9.7</t>
        </is>
      </c>
      <c r="U40" s="64" t="n">
        <v>29</v>
      </c>
      <c r="V40" s="64" t="n">
        <v>29</v>
      </c>
      <c r="W40" s="64" t="n">
        <v>6</v>
      </c>
      <c r="X40" s="64" t="n">
        <v>23</v>
      </c>
      <c r="Y40" s="64" t="n">
        <v>2</v>
      </c>
      <c r="Z40" s="64" t="n">
        <v>3</v>
      </c>
      <c r="AA40" s="64" t="n">
        <v>0</v>
      </c>
      <c r="AB40" s="64" t="n">
        <v>0</v>
      </c>
      <c r="AC40" s="123" t="n">
        <v>4</v>
      </c>
      <c r="AD40" s="47">
        <f>Y40/W40</f>
        <v/>
      </c>
      <c r="AE40" s="47">
        <f>Z40/X40</f>
        <v/>
      </c>
      <c r="AF40" s="47">
        <f>AA40/W40</f>
        <v/>
      </c>
      <c r="AG40" s="47">
        <f>AB40/X40</f>
        <v/>
      </c>
      <c r="AH40" s="53">
        <f>V40/U40</f>
        <v/>
      </c>
    </row>
    <row r="41">
      <c r="T41" s="37" t="inlineStr">
        <is>
          <t>Velarium Spt 9.1 | 9.7-9.21</t>
        </is>
      </c>
      <c r="U41" s="64" t="n">
        <v>31</v>
      </c>
      <c r="V41" s="64" t="n">
        <v>31</v>
      </c>
      <c r="W41" s="64" t="n">
        <v>7</v>
      </c>
      <c r="X41" s="64" t="n">
        <v>24</v>
      </c>
      <c r="Y41" s="64" t="n">
        <v>0</v>
      </c>
      <c r="Z41" s="64" t="n">
        <v>5</v>
      </c>
      <c r="AA41" s="64" t="n">
        <v>0</v>
      </c>
      <c r="AB41" s="64" t="n">
        <v>0</v>
      </c>
      <c r="AC41" s="123" t="n">
        <v>7</v>
      </c>
      <c r="AD41" s="47">
        <f>Y41/W41</f>
        <v/>
      </c>
      <c r="AE41" s="47">
        <f>Z41/X41</f>
        <v/>
      </c>
      <c r="AF41" s="47">
        <f>AA41/W41</f>
        <v/>
      </c>
      <c r="AG41" s="47">
        <f>AB41/X41</f>
        <v/>
      </c>
      <c r="AH41" s="53">
        <f>V41/U41</f>
        <v/>
      </c>
    </row>
    <row r="42">
      <c r="T42" s="37" t="inlineStr">
        <is>
          <t>Velarium Spt 9.2 | 9.21-10.5</t>
        </is>
      </c>
      <c r="U42" s="64" t="n">
        <v>21</v>
      </c>
      <c r="V42" s="64" t="n">
        <v>21</v>
      </c>
      <c r="W42" s="64" t="n">
        <v>5</v>
      </c>
      <c r="X42" s="64" t="n">
        <v>16</v>
      </c>
      <c r="Y42" s="64" t="n">
        <v>3</v>
      </c>
      <c r="Z42" s="64" t="n">
        <v>7</v>
      </c>
      <c r="AA42" s="64" t="n">
        <v>0</v>
      </c>
      <c r="AB42" s="64" t="n">
        <v>0</v>
      </c>
      <c r="AC42" s="123" t="n">
        <v>2</v>
      </c>
      <c r="AD42" s="47">
        <f>Y42/W42</f>
        <v/>
      </c>
      <c r="AE42" s="47">
        <f>Z42/X42</f>
        <v/>
      </c>
      <c r="AF42" s="47">
        <f>AA42/W42</f>
        <v/>
      </c>
      <c r="AG42" s="47">
        <f>AB42/X42</f>
        <v/>
      </c>
      <c r="AH42" s="53">
        <f>V42/U42</f>
        <v/>
      </c>
    </row>
    <row r="43">
      <c r="T43" s="37" t="inlineStr">
        <is>
          <t>Velarium Spt 10.2 | 10.19-11.2</t>
        </is>
      </c>
      <c r="U43" s="64" t="n">
        <v>17</v>
      </c>
      <c r="V43" s="64" t="n">
        <v>17</v>
      </c>
      <c r="W43" s="64" t="n">
        <v>5</v>
      </c>
      <c r="X43" s="64" t="n">
        <v>12</v>
      </c>
      <c r="Y43" s="64" t="n">
        <v>3</v>
      </c>
      <c r="Z43" s="64" t="n">
        <v>2</v>
      </c>
      <c r="AA43" s="64" t="n">
        <v>0</v>
      </c>
      <c r="AB43" s="64" t="n">
        <v>0</v>
      </c>
      <c r="AC43" s="123" t="n">
        <v>2</v>
      </c>
      <c r="AD43" s="47">
        <f>Y43/W43</f>
        <v/>
      </c>
      <c r="AE43" s="47">
        <f>Z43/X43</f>
        <v/>
      </c>
      <c r="AF43" s="47">
        <f>AA43/W43</f>
        <v/>
      </c>
      <c r="AG43" s="47">
        <f>AB43/X43</f>
        <v/>
      </c>
      <c r="AH43" s="53">
        <f>V43/U43</f>
        <v/>
      </c>
    </row>
    <row r="44">
      <c r="T44" s="37" t="inlineStr">
        <is>
          <t>Velarium Spt 11.1 | 11.2-11.16</t>
        </is>
      </c>
      <c r="U44" s="64" t="n">
        <v>16</v>
      </c>
      <c r="V44" s="64" t="n">
        <v>16</v>
      </c>
      <c r="W44" s="64" t="n">
        <v>8</v>
      </c>
      <c r="X44" s="64" t="n">
        <v>8</v>
      </c>
      <c r="Y44" s="64" t="n">
        <v>3</v>
      </c>
      <c r="Z44" s="64" t="n">
        <v>0</v>
      </c>
      <c r="AA44" s="64" t="n">
        <v>0</v>
      </c>
      <c r="AB44" s="64" t="n">
        <v>0</v>
      </c>
      <c r="AC44" s="123" t="n">
        <v>5</v>
      </c>
      <c r="AD44" s="47">
        <f>Y44/W44</f>
        <v/>
      </c>
      <c r="AE44" s="47">
        <f>Z44/X44</f>
        <v/>
      </c>
      <c r="AF44" s="47">
        <f>AA44/W44</f>
        <v/>
      </c>
      <c r="AG44" s="47">
        <f>AB44/X44</f>
        <v/>
      </c>
      <c r="AH44" s="53" t="n"/>
    </row>
    <row r="45">
      <c r="T45" s="37" t="inlineStr">
        <is>
          <t>Velarium Sp 11.2 | 11.16-11.30</t>
        </is>
      </c>
      <c r="U45" s="64" t="n">
        <v>53</v>
      </c>
      <c r="V45" s="64" t="n">
        <v>53</v>
      </c>
      <c r="W45" s="64" t="n">
        <v>14</v>
      </c>
      <c r="X45" s="64" t="n">
        <v>39</v>
      </c>
      <c r="Y45" s="64" t="n">
        <v>4</v>
      </c>
      <c r="Z45" s="64" t="n">
        <v>8</v>
      </c>
      <c r="AA45" s="64" t="n">
        <v>0</v>
      </c>
      <c r="AB45" s="64" t="n">
        <v>0</v>
      </c>
      <c r="AC45" s="123" t="n">
        <v>10</v>
      </c>
      <c r="AD45" s="47">
        <f>Y45/W45</f>
        <v/>
      </c>
      <c r="AE45" s="47">
        <f>Z45/X45</f>
        <v/>
      </c>
      <c r="AF45" s="47">
        <f>AA45/W45</f>
        <v/>
      </c>
      <c r="AG45" s="47">
        <f>AB45/X45</f>
        <v/>
      </c>
      <c r="AH45" s="53" t="n"/>
    </row>
    <row r="46">
      <c r="T46" s="37" t="n"/>
      <c r="U46" s="64" t="n"/>
      <c r="V46" s="64" t="n"/>
      <c r="W46" s="64" t="n"/>
      <c r="X46" s="64" t="n"/>
      <c r="Y46" s="64" t="n"/>
      <c r="Z46" s="64" t="n"/>
      <c r="AA46" s="64" t="n"/>
      <c r="AB46" s="64" t="n"/>
      <c r="AC46" s="123" t="n"/>
      <c r="AD46" s="47" t="n"/>
      <c r="AE46" s="47" t="n"/>
      <c r="AF46" s="47" t="n"/>
      <c r="AG46" s="47" t="n"/>
      <c r="AH46" s="53" t="n"/>
    </row>
    <row r="47">
      <c r="T47" s="37" t="n"/>
      <c r="U47" s="64" t="n"/>
      <c r="V47" s="64" t="n"/>
      <c r="W47" s="64" t="n"/>
      <c r="X47" s="64" t="n"/>
      <c r="Y47" s="64" t="n"/>
      <c r="Z47" s="64" t="n"/>
      <c r="AA47" s="64" t="n"/>
      <c r="AB47" s="64" t="n"/>
      <c r="AC47" s="123" t="n"/>
      <c r="AD47" s="47" t="n"/>
      <c r="AE47" s="47" t="n"/>
      <c r="AF47" s="47" t="n"/>
      <c r="AG47" s="47" t="n"/>
      <c r="AH47" s="53" t="n"/>
    </row>
    <row r="48">
      <c r="T48" s="37" t="n"/>
      <c r="U48" s="64" t="n"/>
      <c r="V48" s="64" t="n"/>
      <c r="W48" s="64" t="n"/>
      <c r="X48" s="64" t="n"/>
      <c r="Y48" s="64" t="n"/>
      <c r="Z48" s="64" t="n"/>
      <c r="AA48" s="64" t="n"/>
      <c r="AB48" s="64" t="n"/>
      <c r="AC48" s="123" t="n"/>
      <c r="AD48" s="47" t="n"/>
      <c r="AE48" s="47" t="n"/>
      <c r="AF48" s="47" t="n"/>
      <c r="AG48" s="47" t="n"/>
      <c r="AH48" s="53" t="n"/>
    </row>
    <row r="49">
      <c r="T49" s="37" t="n"/>
      <c r="U49" s="64" t="n"/>
      <c r="V49" s="64" t="n"/>
      <c r="W49" s="64" t="n"/>
      <c r="X49" s="64" t="n"/>
      <c r="Y49" s="64" t="n"/>
      <c r="Z49" s="64" t="n"/>
      <c r="AA49" s="64" t="n"/>
      <c r="AB49" s="64" t="n"/>
      <c r="AC49" s="123" t="n"/>
      <c r="AD49" s="47" t="n"/>
      <c r="AE49" s="47" t="n"/>
      <c r="AF49" s="47" t="n"/>
      <c r="AG49" s="47" t="n"/>
      <c r="AH49" s="53" t="n"/>
    </row>
    <row r="50">
      <c r="T50" s="37" t="n"/>
      <c r="U50" s="64" t="n"/>
      <c r="V50" s="64" t="n"/>
      <c r="W50" s="64" t="n"/>
      <c r="X50" s="64" t="n"/>
      <c r="Y50" s="64" t="n"/>
      <c r="Z50" s="64" t="n"/>
      <c r="AA50" s="64" t="n"/>
      <c r="AB50" s="64" t="n"/>
      <c r="AC50" s="123" t="n"/>
      <c r="AD50" s="47" t="n"/>
      <c r="AE50" s="47" t="n"/>
      <c r="AF50" s="47" t="n"/>
      <c r="AG50" s="47" t="n"/>
      <c r="AH50" s="53" t="n"/>
    </row>
    <row r="51">
      <c r="T51" s="37" t="n"/>
      <c r="U51" s="64" t="n"/>
      <c r="V51" s="64" t="n"/>
      <c r="W51" s="64" t="n"/>
      <c r="X51" s="64" t="n"/>
      <c r="Y51" s="64" t="n"/>
      <c r="Z51" s="64" t="n"/>
      <c r="AA51" s="64" t="n"/>
      <c r="AB51" s="64" t="n"/>
      <c r="AC51" s="123" t="n"/>
      <c r="AD51" s="47" t="n"/>
      <c r="AE51" s="47" t="n"/>
      <c r="AF51" s="47" t="n"/>
      <c r="AG51" s="47" t="n"/>
      <c r="AH51" s="53" t="n"/>
    </row>
    <row r="52">
      <c r="T52" s="37" t="n"/>
      <c r="U52" s="64" t="n"/>
      <c r="V52" s="64" t="n"/>
      <c r="W52" s="64" t="n"/>
      <c r="X52" s="64" t="n"/>
      <c r="Y52" s="64" t="n"/>
      <c r="Z52" s="64" t="n"/>
      <c r="AA52" s="64" t="n"/>
      <c r="AB52" s="64" t="n"/>
      <c r="AC52" s="123" t="n"/>
      <c r="AD52" s="47" t="n"/>
      <c r="AE52" s="47" t="n"/>
      <c r="AF52" s="47" t="n"/>
      <c r="AG52" s="47" t="n"/>
      <c r="AH52" s="53" t="n"/>
    </row>
    <row r="53">
      <c r="T53" s="37" t="n"/>
      <c r="U53" s="64" t="n"/>
      <c r="V53" s="64" t="n"/>
      <c r="W53" s="64" t="n"/>
      <c r="X53" s="64" t="n"/>
      <c r="Y53" s="64" t="n"/>
      <c r="Z53" s="64" t="n"/>
      <c r="AA53" s="64" t="n"/>
      <c r="AB53" s="64" t="n"/>
      <c r="AC53" s="123" t="n"/>
      <c r="AD53" s="47" t="n"/>
      <c r="AE53" s="47" t="n"/>
      <c r="AF53" s="47" t="n"/>
      <c r="AG53" s="47" t="n"/>
      <c r="AH53" s="53" t="n"/>
    </row>
    <row r="54">
      <c r="T54" s="37" t="n"/>
      <c r="U54" s="64" t="n"/>
      <c r="V54" s="64" t="n"/>
      <c r="W54" s="64" t="n"/>
      <c r="X54" s="64" t="n"/>
      <c r="Y54" s="64" t="n"/>
      <c r="Z54" s="64" t="n"/>
      <c r="AA54" s="64" t="n"/>
      <c r="AB54" s="64" t="n"/>
      <c r="AC54" s="123" t="n"/>
      <c r="AD54" s="47" t="n"/>
      <c r="AE54" s="47" t="n"/>
      <c r="AF54" s="47" t="n"/>
      <c r="AG54" s="47" t="n"/>
      <c r="AH54" s="53" t="n"/>
    </row>
    <row r="55">
      <c r="T55" s="37" t="n"/>
      <c r="U55" s="64" t="n"/>
      <c r="V55" s="64" t="n"/>
      <c r="W55" s="64" t="n"/>
      <c r="X55" s="64" t="n"/>
      <c r="Y55" s="64" t="n"/>
      <c r="Z55" s="64" t="n"/>
      <c r="AA55" s="64" t="n"/>
      <c r="AB55" s="64" t="n"/>
      <c r="AC55" s="123" t="n"/>
      <c r="AD55" s="47" t="n"/>
      <c r="AE55" s="47" t="n"/>
      <c r="AF55" s="47" t="n"/>
      <c r="AG55" s="47" t="n"/>
      <c r="AH55" s="53" t="n"/>
    </row>
    <row r="56">
      <c r="T56" s="37" t="n"/>
      <c r="U56" s="64" t="n"/>
      <c r="V56" s="64" t="n"/>
      <c r="W56" s="64" t="n"/>
      <c r="X56" s="64" t="n"/>
      <c r="Y56" s="64" t="n"/>
      <c r="Z56" s="64" t="n"/>
      <c r="AA56" s="64" t="n"/>
      <c r="AB56" s="64" t="n"/>
      <c r="AC56" s="123" t="n"/>
      <c r="AD56" s="47" t="n"/>
      <c r="AE56" s="47" t="n"/>
      <c r="AF56" s="47" t="n"/>
      <c r="AG56" s="47" t="n"/>
      <c r="AH56" s="53" t="n"/>
    </row>
    <row r="57">
      <c r="T57" s="37" t="n"/>
      <c r="U57" s="64" t="n"/>
      <c r="V57" s="64" t="n"/>
      <c r="W57" s="64" t="n"/>
      <c r="X57" s="64" t="n"/>
      <c r="Y57" s="64" t="n"/>
      <c r="Z57" s="64" t="n"/>
      <c r="AA57" s="64" t="n"/>
      <c r="AB57" s="64" t="n"/>
      <c r="AC57" s="123" t="n"/>
      <c r="AD57" s="47" t="n"/>
      <c r="AE57" s="47" t="n"/>
      <c r="AF57" s="47" t="n"/>
      <c r="AG57" s="47" t="n"/>
      <c r="AH57" s="53" t="n"/>
    </row>
    <row r="58">
      <c r="T58" s="37" t="n"/>
      <c r="U58" s="64" t="n"/>
      <c r="V58" s="64" t="n"/>
      <c r="W58" s="64" t="n"/>
      <c r="X58" s="64" t="n"/>
      <c r="Y58" s="64" t="n"/>
      <c r="Z58" s="64" t="n"/>
      <c r="AA58" s="64" t="n"/>
      <c r="AB58" s="64" t="n"/>
      <c r="AC58" s="123" t="n"/>
      <c r="AD58" s="47" t="n"/>
      <c r="AE58" s="47" t="n"/>
      <c r="AF58" s="47" t="n"/>
      <c r="AG58" s="47" t="n"/>
      <c r="AH58" s="53" t="n"/>
    </row>
    <row r="59">
      <c r="T59" s="37" t="n"/>
      <c r="U59" s="64" t="n"/>
      <c r="V59" s="64" t="n"/>
      <c r="W59" s="64" t="n"/>
      <c r="X59" s="64" t="n"/>
      <c r="Y59" s="64" t="n"/>
      <c r="Z59" s="64" t="n"/>
      <c r="AA59" s="64" t="n"/>
      <c r="AB59" s="64" t="n"/>
      <c r="AC59" s="123" t="n"/>
      <c r="AD59" s="47" t="n"/>
      <c r="AE59" s="47" t="n"/>
      <c r="AF59" s="47" t="n"/>
      <c r="AG59" s="47" t="n"/>
      <c r="AH59" s="53" t="n"/>
    </row>
    <row r="60">
      <c r="T60" s="37" t="n"/>
      <c r="U60" s="64" t="n"/>
      <c r="V60" s="64" t="n"/>
      <c r="W60" s="64" t="n"/>
      <c r="X60" s="64" t="n"/>
      <c r="Y60" s="64" t="n"/>
      <c r="Z60" s="64" t="n"/>
      <c r="AA60" s="64" t="n"/>
      <c r="AB60" s="64" t="n"/>
      <c r="AC60" s="123" t="n"/>
      <c r="AD60" s="47" t="n"/>
      <c r="AE60" s="47" t="n"/>
      <c r="AF60" s="47" t="n"/>
      <c r="AG60" s="47" t="n"/>
      <c r="AH60" s="53" t="n"/>
    </row>
    <row r="61">
      <c r="AH61" s="1" t="n"/>
    </row>
    <row r="62">
      <c r="AH62" s="1" t="n"/>
    </row>
    <row r="63">
      <c r="AH63" s="1" t="n"/>
    </row>
    <row r="64">
      <c r="AH64" s="1" t="n"/>
    </row>
    <row r="65">
      <c r="AH65" s="1" t="n"/>
    </row>
    <row r="66">
      <c r="AH66" s="1" t="n"/>
    </row>
    <row r="67">
      <c r="AH67" s="1" t="n"/>
    </row>
    <row r="68">
      <c r="AH68" s="1" t="n"/>
    </row>
    <row r="69">
      <c r="AH69" s="1" t="n"/>
    </row>
    <row r="70">
      <c r="AH70" s="1" t="n"/>
    </row>
    <row r="71">
      <c r="AH71" s="1" t="n"/>
    </row>
    <row r="72">
      <c r="AH72" s="1" t="n"/>
    </row>
    <row r="73">
      <c r="AH73" s="1" t="n"/>
    </row>
    <row r="74">
      <c r="AH74" s="1" t="n"/>
    </row>
    <row r="75">
      <c r="AH75" s="1" t="n"/>
    </row>
    <row r="76">
      <c r="AH76" s="1" t="n"/>
    </row>
    <row r="77">
      <c r="AH77" s="1" t="n"/>
    </row>
    <row r="78">
      <c r="AH78" s="1" t="n"/>
    </row>
    <row r="79">
      <c r="AH79" s="1" t="n"/>
    </row>
    <row r="80">
      <c r="AH80" s="1" t="n"/>
    </row>
    <row r="81">
      <c r="AH81" s="1" t="n"/>
    </row>
    <row r="82">
      <c r="AH82" s="1" t="n"/>
    </row>
    <row r="83">
      <c r="AH83" s="1" t="n"/>
    </row>
    <row r="84">
      <c r="AH84" s="1" t="n"/>
    </row>
    <row r="85">
      <c r="AH85" s="1" t="n"/>
    </row>
    <row r="86">
      <c r="AH86" s="1" t="n"/>
    </row>
    <row r="87">
      <c r="AH87" s="1" t="n"/>
    </row>
    <row r="88">
      <c r="AH88" s="1" t="n"/>
    </row>
    <row r="89">
      <c r="AH89" s="1" t="n"/>
    </row>
    <row r="90">
      <c r="AH90" s="1" t="n"/>
    </row>
    <row r="91">
      <c r="AH91" s="1" t="n"/>
    </row>
    <row r="92">
      <c r="AH92" s="1" t="n"/>
    </row>
    <row r="93">
      <c r="AH93" s="1" t="n"/>
    </row>
    <row r="94">
      <c r="AH94" s="1" t="n"/>
    </row>
    <row r="95">
      <c r="AH95" s="1" t="n"/>
    </row>
    <row r="96">
      <c r="AH96" s="1" t="n"/>
    </row>
    <row r="97">
      <c r="AH97" s="1" t="n"/>
    </row>
    <row r="98">
      <c r="AH98" s="1" t="n"/>
    </row>
    <row r="99">
      <c r="AH99" s="1" t="n"/>
    </row>
    <row r="100">
      <c r="AH100" s="1" t="n"/>
    </row>
    <row r="101">
      <c r="AH101" s="1" t="n"/>
    </row>
    <row r="102">
      <c r="AH102" s="1" t="n"/>
    </row>
    <row r="103">
      <c r="AH103" s="1" t="n"/>
    </row>
    <row r="104">
      <c r="AH104" s="1" t="n"/>
    </row>
    <row r="105">
      <c r="AH105" s="1" t="n"/>
    </row>
    <row r="106">
      <c r="AH106" s="1" t="n"/>
    </row>
    <row r="107">
      <c r="AH107" s="1" t="n"/>
    </row>
    <row r="108">
      <c r="AH108" s="1" t="n"/>
    </row>
    <row r="109">
      <c r="AH109" s="1" t="n"/>
    </row>
    <row r="110">
      <c r="AH110" s="1" t="n"/>
    </row>
    <row r="111">
      <c r="AH111" s="1" t="n"/>
    </row>
    <row r="112">
      <c r="AH112" s="1" t="n"/>
    </row>
    <row r="113">
      <c r="AH113" s="1" t="n"/>
    </row>
    <row r="114">
      <c r="AH114" s="1" t="n"/>
    </row>
    <row r="115">
      <c r="AH115" s="1" t="n"/>
    </row>
    <row r="116">
      <c r="AH116" s="1" t="n"/>
    </row>
    <row r="117">
      <c r="AH117" s="1" t="n"/>
    </row>
    <row r="118">
      <c r="AH118" s="1" t="n"/>
    </row>
    <row r="119">
      <c r="AH119" s="1" t="n"/>
    </row>
    <row r="120">
      <c r="AH120" s="1" t="n"/>
    </row>
    <row r="121">
      <c r="AH121" s="1" t="n"/>
    </row>
    <row r="122">
      <c r="AH122" s="1" t="n"/>
    </row>
    <row r="123">
      <c r="AH123" s="1" t="n"/>
    </row>
    <row r="124">
      <c r="AH124" s="1" t="n"/>
    </row>
    <row r="125">
      <c r="AH125" s="1" t="n"/>
    </row>
    <row r="126">
      <c r="AH126" s="1" t="n"/>
    </row>
    <row r="127">
      <c r="AH127" s="1" t="n"/>
    </row>
    <row r="128">
      <c r="AH128" s="1" t="n"/>
    </row>
    <row r="129">
      <c r="AH129" s="1" t="n"/>
    </row>
    <row r="130">
      <c r="AH130" s="1" t="n"/>
    </row>
    <row r="131">
      <c r="AH131" s="1" t="n"/>
    </row>
    <row r="132">
      <c r="AH132" s="1" t="n"/>
    </row>
    <row r="133">
      <c r="AH133" s="1" t="n"/>
    </row>
    <row r="134">
      <c r="AH134" s="1" t="n"/>
    </row>
    <row r="135">
      <c r="AH135" s="1" t="n"/>
    </row>
    <row r="136">
      <c r="AH136" s="1" t="n"/>
    </row>
    <row r="137">
      <c r="AH137" s="1" t="n"/>
    </row>
    <row r="138">
      <c r="AH138" s="1" t="n"/>
    </row>
    <row r="139">
      <c r="AH139" s="1" t="n"/>
    </row>
    <row r="140">
      <c r="AH140" s="1" t="n"/>
    </row>
    <row r="141">
      <c r="AH141" s="1" t="n"/>
    </row>
    <row r="142">
      <c r="AH142" s="1" t="n"/>
    </row>
    <row r="143">
      <c r="AH143" s="1" t="n"/>
    </row>
    <row r="144">
      <c r="AH144" s="1" t="n"/>
    </row>
    <row r="145">
      <c r="AH145" s="1" t="n"/>
    </row>
    <row r="146">
      <c r="AH146" s="1" t="n"/>
    </row>
    <row r="147">
      <c r="AH147" s="1" t="n"/>
    </row>
    <row r="148">
      <c r="AH148" s="1" t="n"/>
    </row>
    <row r="149">
      <c r="AH149" s="1" t="n"/>
    </row>
    <row r="150">
      <c r="AH150" s="1" t="n"/>
    </row>
    <row r="151">
      <c r="AH151" s="1" t="n"/>
    </row>
    <row r="152">
      <c r="AH152" s="1" t="n"/>
    </row>
    <row r="153">
      <c r="AH153" s="1" t="n"/>
    </row>
    <row r="154">
      <c r="AH154" s="1" t="n"/>
    </row>
    <row r="155">
      <c r="AH155" s="1" t="n"/>
    </row>
    <row r="156">
      <c r="AH156" s="1" t="n"/>
    </row>
    <row r="157">
      <c r="AH157" s="1" t="n"/>
    </row>
    <row r="158">
      <c r="AH158" s="1" t="n"/>
    </row>
    <row r="159">
      <c r="AH159" s="1" t="n"/>
    </row>
    <row r="160">
      <c r="AH160" s="1" t="n"/>
    </row>
    <row r="161">
      <c r="AH161" s="1" t="n"/>
    </row>
    <row r="162">
      <c r="AH162" s="1" t="n"/>
    </row>
    <row r="163">
      <c r="AH163" s="1" t="n"/>
    </row>
    <row r="164">
      <c r="AH164" s="1" t="n"/>
    </row>
    <row r="165">
      <c r="AH165" s="1" t="n"/>
    </row>
    <row r="166">
      <c r="AH166" s="1" t="n"/>
    </row>
    <row r="167">
      <c r="AH167" s="1" t="n"/>
    </row>
    <row r="168">
      <c r="AH168" s="1" t="n"/>
    </row>
    <row r="169">
      <c r="AH169" s="1" t="n"/>
    </row>
    <row r="170">
      <c r="AH170" s="1" t="n"/>
    </row>
    <row r="171">
      <c r="AH171" s="1" t="n"/>
    </row>
    <row r="172">
      <c r="AH172" s="1" t="n"/>
    </row>
    <row r="173">
      <c r="AH173" s="1" t="n"/>
    </row>
    <row r="174">
      <c r="AH174" s="1" t="n"/>
    </row>
    <row r="175">
      <c r="AH175" s="1" t="n"/>
    </row>
    <row r="176">
      <c r="AH176" s="1" t="n"/>
    </row>
    <row r="177">
      <c r="AH177" s="1" t="n"/>
    </row>
    <row r="178">
      <c r="AH178" s="1" t="n"/>
    </row>
    <row r="179">
      <c r="AH179" s="1" t="n"/>
    </row>
    <row r="180">
      <c r="AH180" s="1" t="n"/>
    </row>
    <row r="181">
      <c r="AH181" s="1" t="n"/>
    </row>
    <row r="182">
      <c r="AH182" s="1" t="n"/>
    </row>
    <row r="183">
      <c r="AH183" s="1" t="n"/>
    </row>
    <row r="184">
      <c r="AH184" s="1" t="n"/>
    </row>
    <row r="185">
      <c r="AH185" s="1" t="n"/>
    </row>
    <row r="186">
      <c r="AH186" s="1" t="n"/>
    </row>
    <row r="187">
      <c r="AH187" s="1" t="n"/>
    </row>
    <row r="188">
      <c r="AH188" s="1" t="n"/>
    </row>
    <row r="189">
      <c r="AH189" s="1" t="n"/>
    </row>
    <row r="190">
      <c r="AH190" s="1" t="n"/>
    </row>
    <row r="191">
      <c r="AH191" s="1" t="n"/>
    </row>
    <row r="192">
      <c r="AH192" s="1" t="n"/>
    </row>
    <row r="193">
      <c r="AH193" s="1" t="n"/>
    </row>
    <row r="194">
      <c r="AH194" s="1" t="n"/>
    </row>
    <row r="195">
      <c r="AH195" s="1" t="n"/>
    </row>
    <row r="196">
      <c r="AH196" s="1" t="n"/>
    </row>
    <row r="197">
      <c r="AH197" s="1" t="n"/>
    </row>
    <row r="198">
      <c r="AH198" s="1" t="n"/>
    </row>
    <row r="199">
      <c r="AH199" s="1" t="n"/>
    </row>
    <row r="200">
      <c r="AH200" s="1" t="n"/>
    </row>
    <row r="201">
      <c r="AH201" s="1" t="n"/>
    </row>
    <row r="202">
      <c r="AH202" s="1" t="n"/>
    </row>
    <row r="203">
      <c r="AH203" s="1" t="n"/>
    </row>
    <row r="204">
      <c r="AH204" s="1" t="n"/>
    </row>
    <row r="205">
      <c r="AH205" s="1" t="n"/>
    </row>
    <row r="206">
      <c r="AH206" s="1" t="n"/>
    </row>
    <row r="207">
      <c r="AH207" s="1" t="n"/>
    </row>
    <row r="208">
      <c r="AH208" s="1" t="n"/>
    </row>
    <row r="209">
      <c r="AH209" s="1" t="n"/>
    </row>
    <row r="210">
      <c r="AH210" s="1" t="n"/>
    </row>
    <row r="211">
      <c r="AH211" s="1" t="n"/>
    </row>
    <row r="212">
      <c r="AH212" s="1" t="n"/>
    </row>
    <row r="213">
      <c r="AH213" s="1" t="n"/>
    </row>
    <row r="214">
      <c r="AH214" s="1" t="n"/>
    </row>
    <row r="215">
      <c r="AH215" s="1" t="n"/>
    </row>
    <row r="216">
      <c r="AH216" s="1" t="n"/>
    </row>
    <row r="217">
      <c r="AH217" s="1" t="n"/>
    </row>
    <row r="218">
      <c r="AH218" s="1" t="n"/>
    </row>
    <row r="219">
      <c r="AH219" s="1" t="n"/>
    </row>
    <row r="220">
      <c r="AH220" s="1" t="n"/>
    </row>
    <row r="221">
      <c r="AH221" s="1" t="n"/>
    </row>
    <row r="222">
      <c r="AH222" s="1" t="n"/>
    </row>
    <row r="223">
      <c r="AH223" s="1" t="n"/>
    </row>
    <row r="224">
      <c r="AH224" s="1" t="n"/>
    </row>
    <row r="225">
      <c r="AH225" s="1" t="n"/>
    </row>
    <row r="226">
      <c r="AH226" s="1" t="n"/>
    </row>
    <row r="227">
      <c r="AH227" s="1" t="n"/>
    </row>
    <row r="228">
      <c r="AH228" s="1" t="n"/>
    </row>
    <row r="229">
      <c r="AH229" s="1" t="n"/>
    </row>
    <row r="230">
      <c r="AH230" s="1" t="n"/>
    </row>
    <row r="231">
      <c r="AH231" s="1" t="n"/>
    </row>
    <row r="232">
      <c r="AH232" s="1" t="n"/>
    </row>
    <row r="233">
      <c r="AH233" s="1" t="n"/>
    </row>
    <row r="234">
      <c r="AH234" s="1" t="n"/>
    </row>
    <row r="235">
      <c r="AH235" s="1" t="n"/>
    </row>
    <row r="236">
      <c r="AH236" s="1" t="n"/>
    </row>
    <row r="237">
      <c r="AH237" s="1" t="n"/>
    </row>
    <row r="238">
      <c r="AH238" s="1" t="n"/>
    </row>
    <row r="239">
      <c r="AH239" s="1" t="n"/>
    </row>
    <row r="240">
      <c r="AH240" s="1" t="n"/>
    </row>
    <row r="241">
      <c r="AH241" s="1" t="n"/>
    </row>
    <row r="242">
      <c r="AH242" s="1" t="n"/>
    </row>
    <row r="243">
      <c r="AH243" s="1" t="n"/>
    </row>
    <row r="244">
      <c r="AH244" s="1" t="n"/>
    </row>
    <row r="245">
      <c r="AH245" s="1" t="n"/>
    </row>
    <row r="246">
      <c r="AH246" s="1" t="n"/>
    </row>
    <row r="247">
      <c r="AH247" s="1" t="n"/>
    </row>
    <row r="248">
      <c r="AH248" s="1" t="n"/>
    </row>
    <row r="249">
      <c r="AH249" s="1" t="n"/>
    </row>
    <row r="250">
      <c r="AH250" s="1" t="n"/>
    </row>
    <row r="251">
      <c r="AH251" s="1" t="n"/>
    </row>
    <row r="252">
      <c r="AH252" s="1" t="n"/>
    </row>
    <row r="253">
      <c r="AH253" s="1" t="n"/>
    </row>
    <row r="254">
      <c r="AH254" s="1" t="n"/>
    </row>
    <row r="255">
      <c r="AH255" s="1" t="n"/>
    </row>
    <row r="256">
      <c r="AH256" s="1" t="n"/>
    </row>
    <row r="257">
      <c r="AH257" s="1" t="n"/>
    </row>
    <row r="258">
      <c r="AH258" s="1" t="n"/>
    </row>
    <row r="259">
      <c r="AH259" s="1" t="n"/>
    </row>
    <row r="260">
      <c r="AH260" s="1" t="n"/>
    </row>
    <row r="261">
      <c r="AH261" s="1" t="n"/>
    </row>
    <row r="262">
      <c r="AH262" s="1" t="n"/>
    </row>
    <row r="263">
      <c r="AH263" s="1" t="n"/>
    </row>
    <row r="264">
      <c r="AH264" s="1" t="n"/>
    </row>
    <row r="265">
      <c r="AH265" s="1" t="n"/>
    </row>
    <row r="266">
      <c r="AH266" s="1" t="n"/>
    </row>
    <row r="267">
      <c r="AH267" s="1" t="n"/>
    </row>
    <row r="268">
      <c r="AH268" s="1" t="n"/>
    </row>
    <row r="269">
      <c r="AH269" s="1" t="n"/>
    </row>
    <row r="270">
      <c r="AH270" s="1" t="n"/>
    </row>
    <row r="271">
      <c r="AH271" s="1" t="n"/>
    </row>
    <row r="272">
      <c r="AH272" s="1" t="n"/>
    </row>
    <row r="273">
      <c r="AH273" s="1" t="n"/>
    </row>
    <row r="274">
      <c r="AH274" s="1" t="n"/>
    </row>
    <row r="275">
      <c r="AH275" s="1" t="n"/>
    </row>
    <row r="276">
      <c r="AH276" s="1" t="n"/>
    </row>
    <row r="277">
      <c r="AH277" s="1" t="n"/>
    </row>
    <row r="278">
      <c r="AH278" s="1" t="n"/>
    </row>
    <row r="279">
      <c r="AH279" s="1" t="n"/>
    </row>
    <row r="280">
      <c r="AH280" s="1" t="n"/>
    </row>
    <row r="281">
      <c r="AH281" s="1" t="n"/>
    </row>
    <row r="282">
      <c r="AH282" s="1" t="n"/>
    </row>
    <row r="283">
      <c r="AH283" s="1" t="n"/>
    </row>
    <row r="284">
      <c r="AH284" s="1" t="n"/>
    </row>
    <row r="285">
      <c r="AH285" s="1" t="n"/>
    </row>
    <row r="286">
      <c r="AH286" s="1" t="n"/>
    </row>
    <row r="287">
      <c r="AH287" s="1" t="n"/>
    </row>
    <row r="288">
      <c r="AH288" s="1" t="n"/>
    </row>
    <row r="289">
      <c r="AH289" s="1" t="n"/>
    </row>
    <row r="290">
      <c r="AH290" s="1" t="n"/>
    </row>
    <row r="291">
      <c r="AH291" s="1" t="n"/>
    </row>
    <row r="292">
      <c r="AH292" s="1" t="n"/>
    </row>
    <row r="293">
      <c r="AH293" s="1" t="n"/>
    </row>
    <row r="294">
      <c r="AH294" s="1" t="n"/>
    </row>
    <row r="295">
      <c r="AH295" s="1" t="n"/>
    </row>
    <row r="296">
      <c r="AH296" s="1" t="n"/>
    </row>
    <row r="297">
      <c r="AH297" s="1" t="n"/>
    </row>
    <row r="298">
      <c r="AH298" s="1" t="n"/>
    </row>
    <row r="299">
      <c r="AH299" s="1" t="n"/>
    </row>
    <row r="300">
      <c r="AH300" s="1" t="n"/>
    </row>
    <row r="301">
      <c r="AH301" s="1" t="n"/>
    </row>
    <row r="302">
      <c r="AH302" s="1" t="n"/>
    </row>
    <row r="303">
      <c r="AH303" s="1" t="n"/>
    </row>
    <row r="304">
      <c r="AH304" s="1" t="n"/>
    </row>
    <row r="305">
      <c r="AH305" s="1" t="n"/>
    </row>
    <row r="306">
      <c r="AH306" s="1" t="n"/>
    </row>
    <row r="307">
      <c r="AH307" s="1" t="n"/>
    </row>
    <row r="308">
      <c r="AH308" s="1" t="n"/>
    </row>
    <row r="309">
      <c r="AH309" s="1" t="n"/>
    </row>
    <row r="310">
      <c r="AH310" s="1" t="n"/>
    </row>
    <row r="311">
      <c r="AH311" s="1" t="n"/>
    </row>
    <row r="312">
      <c r="AH312" s="1" t="n"/>
    </row>
    <row r="313">
      <c r="AH313" s="1" t="n"/>
    </row>
    <row r="314">
      <c r="AH314" s="1" t="n"/>
    </row>
    <row r="315">
      <c r="AH315" s="1" t="n"/>
    </row>
    <row r="316">
      <c r="AH316" s="1" t="n"/>
    </row>
    <row r="317">
      <c r="AH317" s="1" t="n"/>
    </row>
    <row r="318">
      <c r="AH318" s="1"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$BB$2:$BB$4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8/11 - 8/25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8/11 - 8/25</t>
        </is>
      </c>
      <c r="B4" t="n">
        <v>25</v>
      </c>
      <c r="C4" t="n">
        <v>22</v>
      </c>
      <c r="D4" t="n">
        <v>5</v>
      </c>
      <c r="E4" t="n">
        <v>20</v>
      </c>
      <c r="F4" t="n">
        <v>0</v>
      </c>
      <c r="G4" t="n">
        <v>2</v>
      </c>
      <c r="H4" t="n">
        <v>1</v>
      </c>
      <c r="I4" t="n">
        <v>3</v>
      </c>
      <c r="J4" t="n">
        <v>5</v>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B1:AQ128"/>
  <sheetViews>
    <sheetView topLeftCell="AN1" zoomScale="70" zoomScaleNormal="70" workbookViewId="0">
      <selection activeCell="AO1" sqref="AO1"/>
    </sheetView>
  </sheetViews>
  <sheetFormatPr baseColWidth="8" defaultRowHeight="15"/>
  <cols>
    <col width="21.85546875" customWidth="1" min="3" max="3"/>
    <col width="34.28515625" customWidth="1" style="19" min="20" max="20"/>
    <col width="19" customWidth="1" style="19" min="21" max="21"/>
    <col width="21" bestFit="1" customWidth="1" style="19" min="22" max="22"/>
    <col width="9.140625"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21.5703125" bestFit="1" customWidth="1" style="19" min="30" max="30"/>
    <col width="10.28515625" customWidth="1" style="19" min="31" max="32"/>
    <col width="22.85546875" bestFit="1" customWidth="1" style="19" min="33" max="33"/>
    <col width="26.28515625" bestFit="1" customWidth="1" style="19" min="34" max="34"/>
    <col width="10.28515625" bestFit="1" customWidth="1" min="35" max="35"/>
    <col width="14.28515625" bestFit="1" customWidth="1" min="37" max="37"/>
    <col width="28.5703125" bestFit="1" customWidth="1" min="38" max="38"/>
    <col width="28.140625" bestFit="1" customWidth="1" min="39" max="39"/>
    <col width="14.28515625" bestFit="1" customWidth="1" min="41" max="41"/>
    <col width="30.5703125" bestFit="1" customWidth="1" min="42" max="42"/>
    <col width="30.28515625" bestFit="1" customWidth="1" min="43" max="43"/>
  </cols>
  <sheetData>
    <row r="1" ht="15.75" customHeight="1" thickBot="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I1" s="40" t="inlineStr">
        <is>
          <t>Old Dates</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DWA: 12/27 - 01/03 2022</t>
        </is>
      </c>
      <c r="U2" s="37" t="n">
        <v>0</v>
      </c>
      <c r="V2" s="37" t="n">
        <v>0</v>
      </c>
      <c r="W2" s="37" t="n">
        <v>0</v>
      </c>
      <c r="X2" s="37" t="n">
        <v>0</v>
      </c>
      <c r="Y2" s="37" t="n">
        <v>0</v>
      </c>
      <c r="Z2" s="37" t="n">
        <v>0</v>
      </c>
      <c r="AA2" s="37" t="n">
        <v>0</v>
      </c>
      <c r="AB2" s="37" t="n">
        <v>0</v>
      </c>
      <c r="AC2" s="66">
        <f>W2-Y2</f>
        <v/>
      </c>
      <c r="AD2" s="115">
        <f>IF(W2,Y2/W2,0)</f>
        <v/>
      </c>
      <c r="AE2" s="115" t="n">
        <v>0</v>
      </c>
      <c r="AF2" s="115">
        <f>IF(W2,AA2/W2,0)</f>
        <v/>
      </c>
      <c r="AG2" s="37">
        <f>IF(X2,AB2/X2,0)</f>
        <v/>
      </c>
      <c r="AH2" s="53">
        <f>IF(U2,V2/U2,0)</f>
        <v/>
      </c>
      <c r="AI2" s="20" t="n"/>
      <c r="AO2" s="2" t="inlineStr">
        <is>
          <t>DWA: 11/20 - 11/26 2022</t>
        </is>
      </c>
      <c r="AP2" t="n">
        <v>0</v>
      </c>
      <c r="AQ2" t="n">
        <v>5</v>
      </c>
    </row>
    <row r="3">
      <c r="B3" s="17" t="n"/>
      <c r="Q3" s="10" t="n"/>
      <c r="T3" s="37" t="inlineStr">
        <is>
          <t>DWA: 01/03 - 01/10 2022</t>
        </is>
      </c>
      <c r="U3" s="37" t="n">
        <v>10</v>
      </c>
      <c r="V3" s="37" t="n">
        <v>10</v>
      </c>
      <c r="W3" s="37" t="n">
        <v>4</v>
      </c>
      <c r="X3" s="37" t="n">
        <v>0</v>
      </c>
      <c r="Y3" s="37" t="n">
        <v>1</v>
      </c>
      <c r="Z3" s="37" t="n">
        <v>0</v>
      </c>
      <c r="AA3" s="37" t="n">
        <v>0</v>
      </c>
      <c r="AB3" s="37" t="n">
        <v>0</v>
      </c>
      <c r="AC3" s="66">
        <f>W3-Y3</f>
        <v/>
      </c>
      <c r="AD3" s="115">
        <f>IF(W3,Y3/W3,0)</f>
        <v/>
      </c>
      <c r="AE3" s="115" t="n">
        <v>0</v>
      </c>
      <c r="AF3" s="115">
        <f>IF(W3,AA3/W3,0)</f>
        <v/>
      </c>
      <c r="AG3" s="37">
        <f>IF(X3,AB3/X3,0)</f>
        <v/>
      </c>
      <c r="AH3" s="53">
        <f>IF(U3,V3/U3,0)</f>
        <v/>
      </c>
      <c r="AI3" s="20" t="n"/>
      <c r="AO3" s="2" t="inlineStr">
        <is>
          <t>DWA: 11/27 - 12/03 2022</t>
        </is>
      </c>
      <c r="AP3" t="n">
        <v>0</v>
      </c>
      <c r="AQ3" t="n">
        <v>3</v>
      </c>
    </row>
    <row r="4">
      <c r="B4" s="17" t="n"/>
      <c r="Q4" s="10" t="n"/>
      <c r="T4" s="37" t="inlineStr">
        <is>
          <t>DWA: 01/10 - 01/17 2022</t>
        </is>
      </c>
      <c r="U4" s="37" t="n">
        <v>2</v>
      </c>
      <c r="V4" s="37" t="n">
        <v>2</v>
      </c>
      <c r="W4" s="37" t="n">
        <v>1</v>
      </c>
      <c r="X4" s="37" t="n">
        <v>0</v>
      </c>
      <c r="Y4" s="37" t="n">
        <v>0</v>
      </c>
      <c r="Z4" s="37" t="n">
        <v>0</v>
      </c>
      <c r="AA4" s="37" t="n">
        <v>0</v>
      </c>
      <c r="AB4" s="37" t="n">
        <v>0</v>
      </c>
      <c r="AC4" s="66">
        <f>W4-Y4</f>
        <v/>
      </c>
      <c r="AD4" s="115">
        <f>IF(W4,Y4/W4,0)</f>
        <v/>
      </c>
      <c r="AE4" s="115" t="n">
        <v>0</v>
      </c>
      <c r="AF4" s="115">
        <f>IF(W4,AA4/W4,0)</f>
        <v/>
      </c>
      <c r="AG4" s="37">
        <f>IF(X4,AB4/X4,0)</f>
        <v/>
      </c>
      <c r="AH4" s="53">
        <f>IF(U4,V4/U4,0)</f>
        <v/>
      </c>
      <c r="AI4" s="20" t="n"/>
      <c r="AO4" s="2" t="inlineStr">
        <is>
          <t>DWA: 12/04 - 12/10 2022</t>
        </is>
      </c>
      <c r="AP4" t="n">
        <v>0</v>
      </c>
      <c r="AQ4" t="n">
        <v>3</v>
      </c>
    </row>
    <row r="5">
      <c r="B5" s="84" t="n"/>
      <c r="C5" s="86" t="n"/>
      <c r="D5" s="86" t="n"/>
      <c r="E5" s="86" t="n"/>
      <c r="F5" s="86" t="n"/>
      <c r="G5" s="86" t="n"/>
      <c r="H5" s="86" t="n"/>
      <c r="I5" s="86" t="n"/>
      <c r="J5" s="86" t="n"/>
      <c r="K5" s="86" t="n"/>
      <c r="L5" s="86" t="n"/>
      <c r="M5" s="86" t="n"/>
      <c r="N5" s="86" t="n"/>
      <c r="O5" s="86" t="n"/>
      <c r="P5" s="86" t="n"/>
      <c r="Q5" s="92" t="n"/>
      <c r="T5" s="37" t="inlineStr">
        <is>
          <t>DWA: 01/17 - 01/24 2022</t>
        </is>
      </c>
      <c r="U5" s="37" t="n">
        <v>4</v>
      </c>
      <c r="V5" s="37" t="n">
        <v>4</v>
      </c>
      <c r="W5" s="37" t="n">
        <v>2</v>
      </c>
      <c r="X5" s="37" t="n">
        <v>0</v>
      </c>
      <c r="Y5" s="37" t="n">
        <v>0</v>
      </c>
      <c r="Z5" s="37" t="n">
        <v>0</v>
      </c>
      <c r="AA5" s="37" t="n">
        <v>0</v>
      </c>
      <c r="AB5" s="37" t="n">
        <v>0</v>
      </c>
      <c r="AC5" s="66">
        <f>W5-Y5</f>
        <v/>
      </c>
      <c r="AD5" s="115">
        <f>IF(W5,Y5/W5,0)</f>
        <v/>
      </c>
      <c r="AE5" s="115" t="n">
        <v>0</v>
      </c>
      <c r="AF5" s="115">
        <f>IF(W5,AA5/W5,0)</f>
        <v/>
      </c>
      <c r="AG5" s="37">
        <f>IF(X5,AB5/X5,0)</f>
        <v/>
      </c>
      <c r="AH5" s="53">
        <f>IF(U5,V5/U5,0)</f>
        <v/>
      </c>
      <c r="AI5" s="20" t="n"/>
      <c r="AO5" s="2" t="inlineStr">
        <is>
          <t>DWA: 12/11 - 12/17 2022</t>
        </is>
      </c>
      <c r="AP5" t="n">
        <v>0</v>
      </c>
      <c r="AQ5" t="n">
        <v>1</v>
      </c>
    </row>
    <row r="6" ht="15.75" customHeight="1">
      <c r="B6" s="85" t="n"/>
      <c r="C6" s="100" t="inlineStr">
        <is>
          <t>Project Name</t>
        </is>
      </c>
      <c r="D6" s="310" t="inlineStr">
        <is>
          <t>LendingTree</t>
        </is>
      </c>
      <c r="H6" s="310" t="n"/>
      <c r="I6" s="310" t="n"/>
      <c r="J6" s="88" t="n"/>
      <c r="K6" s="88" t="n"/>
      <c r="L6" s="307" t="inlineStr">
        <is>
          <t>Status Date</t>
        </is>
      </c>
      <c r="N6" s="312" t="n">
        <v>44895</v>
      </c>
      <c r="P6" s="87" t="n"/>
      <c r="Q6" s="93" t="n"/>
      <c r="T6" s="37" t="inlineStr">
        <is>
          <t>DWA: 01/24 - 01/31 2022</t>
        </is>
      </c>
      <c r="U6" s="37" t="n">
        <v>9</v>
      </c>
      <c r="V6" s="37" t="n">
        <v>9</v>
      </c>
      <c r="W6" s="37" t="n">
        <v>4</v>
      </c>
      <c r="X6" s="37" t="n">
        <v>0</v>
      </c>
      <c r="Y6" s="37" t="n">
        <v>0</v>
      </c>
      <c r="Z6" s="37" t="n">
        <v>0</v>
      </c>
      <c r="AA6" s="37" t="n">
        <v>0</v>
      </c>
      <c r="AB6" s="37" t="n">
        <v>0</v>
      </c>
      <c r="AC6" s="66">
        <f>W6-Y6</f>
        <v/>
      </c>
      <c r="AD6" s="115">
        <f>IF(W6,Y6/W6,0)</f>
        <v/>
      </c>
      <c r="AE6" s="115" t="n">
        <v>0</v>
      </c>
      <c r="AF6" s="115">
        <f>IF(W6,AA6/W6,0)</f>
        <v/>
      </c>
      <c r="AG6" s="37">
        <f>IF(X6,AB6/X6,0)</f>
        <v/>
      </c>
      <c r="AH6" s="53">
        <f>IF(U6,V6/U6,0)</f>
        <v/>
      </c>
      <c r="AI6" s="20" t="n"/>
      <c r="AO6" s="2" t="inlineStr">
        <is>
          <t>Grand Total</t>
        </is>
      </c>
      <c r="AP6" t="n">
        <v>0</v>
      </c>
      <c r="AQ6" t="n">
        <v>12</v>
      </c>
    </row>
    <row r="7">
      <c r="B7" s="85" t="n"/>
      <c r="C7" s="100" t="inlineStr">
        <is>
          <t>Sub Project</t>
        </is>
      </c>
      <c r="D7" s="310" t="inlineStr">
        <is>
          <t>Thundercats</t>
        </is>
      </c>
      <c r="H7" s="101" t="n"/>
      <c r="I7" s="101" t="n"/>
      <c r="J7" s="89" t="n"/>
      <c r="K7" s="89" t="n"/>
      <c r="L7" s="90" t="n"/>
      <c r="M7" s="90" t="n"/>
      <c r="N7" s="90" t="n"/>
      <c r="O7" s="90" t="n"/>
      <c r="P7" s="87" t="n"/>
      <c r="Q7" s="93" t="n"/>
      <c r="T7" s="37" t="inlineStr">
        <is>
          <t>DWA: 01/31 - 02/07 2022</t>
        </is>
      </c>
      <c r="U7" s="37" t="n">
        <v>2</v>
      </c>
      <c r="V7" s="37" t="n">
        <v>2</v>
      </c>
      <c r="W7" s="37" t="n">
        <v>1</v>
      </c>
      <c r="X7" s="37" t="n">
        <v>0</v>
      </c>
      <c r="Y7" s="37" t="n">
        <v>0</v>
      </c>
      <c r="Z7" s="37" t="n">
        <v>0</v>
      </c>
      <c r="AA7" s="37" t="n">
        <v>0</v>
      </c>
      <c r="AB7" s="37" t="n">
        <v>0</v>
      </c>
      <c r="AC7" s="66">
        <f>W7-Y7</f>
        <v/>
      </c>
      <c r="AD7" s="115">
        <f>IF(W7,Y7/W7,0)</f>
        <v/>
      </c>
      <c r="AE7" s="115" t="n">
        <v>0</v>
      </c>
      <c r="AF7" s="115">
        <f>IF(W7,AA7/W7,0)</f>
        <v/>
      </c>
      <c r="AG7" s="37">
        <f>IF(X7,AB7/X7,0)</f>
        <v/>
      </c>
      <c r="AH7" s="53">
        <f>IF(U7,V7/U7,0)</f>
        <v/>
      </c>
      <c r="AI7" s="20" t="n"/>
    </row>
    <row r="8" ht="15.75" customHeight="1">
      <c r="B8" s="85" t="n"/>
      <c r="C8" s="100" t="inlineStr">
        <is>
          <t>Delivery Manager</t>
        </is>
      </c>
      <c r="D8" s="310" t="inlineStr">
        <is>
          <t>Mamatha Joshi</t>
        </is>
      </c>
      <c r="H8" s="87" t="n"/>
      <c r="I8" s="87" t="n"/>
      <c r="J8" s="87" t="n"/>
      <c r="K8" s="87" t="n"/>
      <c r="L8" s="307" t="inlineStr">
        <is>
          <t>Overall Status</t>
        </is>
      </c>
      <c r="N8" s="103" t="inlineStr">
        <is>
          <t>Green</t>
        </is>
      </c>
      <c r="O8" s="90" t="n"/>
      <c r="P8" s="87" t="n"/>
      <c r="Q8" s="93" t="n"/>
      <c r="T8" s="37" t="inlineStr">
        <is>
          <t>DWA: 02/07 - 02/14 2022</t>
        </is>
      </c>
      <c r="U8" s="37" t="n">
        <v>3</v>
      </c>
      <c r="V8" s="37" t="n">
        <v>3</v>
      </c>
      <c r="W8" s="37" t="n">
        <v>2</v>
      </c>
      <c r="X8" s="37" t="n">
        <v>0</v>
      </c>
      <c r="Y8" s="37" t="n">
        <v>0</v>
      </c>
      <c r="Z8" s="37" t="n">
        <v>0</v>
      </c>
      <c r="AA8" s="37" t="n">
        <v>0</v>
      </c>
      <c r="AB8" s="37" t="n">
        <v>0</v>
      </c>
      <c r="AC8" s="66">
        <f>W8-Y8</f>
        <v/>
      </c>
      <c r="AD8" s="115">
        <f>IF(W8,Y8/W8,0)</f>
        <v/>
      </c>
      <c r="AE8" s="115" t="n">
        <v>0</v>
      </c>
      <c r="AF8" s="115">
        <f>IF(W8,AA8/W8,0)</f>
        <v/>
      </c>
      <c r="AG8" s="37">
        <f>IF(X8,AB8/X8,0)</f>
        <v/>
      </c>
      <c r="AH8" s="53">
        <f>IF(U8,V8/U8,0)</f>
        <v/>
      </c>
      <c r="AI8" s="20" t="n"/>
    </row>
    <row r="9">
      <c r="B9" s="85" t="n"/>
      <c r="C9" s="100" t="inlineStr">
        <is>
          <t>Project Manager/Lead</t>
        </is>
      </c>
      <c r="D9" s="310" t="inlineStr">
        <is>
          <t>Mamatha Joshi</t>
        </is>
      </c>
      <c r="H9" s="87" t="n"/>
      <c r="I9" s="87" t="n"/>
      <c r="J9" s="87" t="n"/>
      <c r="K9" s="87" t="n"/>
      <c r="L9" s="87" t="n"/>
      <c r="M9" s="87" t="n"/>
      <c r="N9" s="87" t="n"/>
      <c r="O9" s="87" t="n"/>
      <c r="P9" s="87" t="n"/>
      <c r="Q9" s="93" t="n"/>
      <c r="T9" s="37" t="inlineStr">
        <is>
          <t>DWA: 02/14 - 02/21 2022</t>
        </is>
      </c>
      <c r="U9" s="37" t="n">
        <v>11</v>
      </c>
      <c r="V9" s="37" t="n">
        <v>11</v>
      </c>
      <c r="W9" s="37" t="n">
        <v>5</v>
      </c>
      <c r="X9" s="37" t="n">
        <v>0</v>
      </c>
      <c r="Y9" s="37" t="n">
        <v>0</v>
      </c>
      <c r="Z9" s="37" t="n">
        <v>0</v>
      </c>
      <c r="AA9" s="37" t="n">
        <v>0</v>
      </c>
      <c r="AB9" s="37" t="n">
        <v>0</v>
      </c>
      <c r="AC9" s="66">
        <f>W9-Y9</f>
        <v/>
      </c>
      <c r="AD9" s="115">
        <f>IF(W9,Y9/W9,0)</f>
        <v/>
      </c>
      <c r="AE9" s="115" t="n">
        <v>0</v>
      </c>
      <c r="AF9" s="115">
        <f>IF(W9,AA9/W9,0)</f>
        <v/>
      </c>
      <c r="AG9" s="37">
        <f>IF(X9,AB9/X9,0)</f>
        <v/>
      </c>
      <c r="AH9" s="53">
        <f>IF(U9,V9/U9,0)</f>
        <v/>
      </c>
      <c r="AI9" s="20"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DWA: 02/21 - 02/28 2022</t>
        </is>
      </c>
      <c r="U10" s="37" t="n">
        <v>0</v>
      </c>
      <c r="V10" s="37" t="n">
        <v>0</v>
      </c>
      <c r="W10" s="37" t="n">
        <v>0</v>
      </c>
      <c r="X10" s="37" t="n">
        <v>0</v>
      </c>
      <c r="Y10" s="37" t="n">
        <v>0</v>
      </c>
      <c r="Z10" s="37" t="n">
        <v>0</v>
      </c>
      <c r="AA10" s="37" t="n">
        <v>0</v>
      </c>
      <c r="AB10" s="37" t="n">
        <v>0</v>
      </c>
      <c r="AC10" s="66">
        <f>W10-Y10</f>
        <v/>
      </c>
      <c r="AD10" s="115">
        <f>IF(W10,Y10/W10,0)</f>
        <v/>
      </c>
      <c r="AE10" s="115" t="n">
        <v>0</v>
      </c>
      <c r="AF10" s="115">
        <f>IF(W10,AA10/W10,0)</f>
        <v/>
      </c>
      <c r="AG10" s="37">
        <f>IF(X10,AB10/X10,0)</f>
        <v/>
      </c>
      <c r="AH10" s="53">
        <f>IF(U10,V10/U10,0)</f>
        <v/>
      </c>
      <c r="AI10" s="20" t="n"/>
    </row>
    <row r="11">
      <c r="B11" s="85" t="n"/>
      <c r="C11" s="100" t="inlineStr">
        <is>
          <t>Client Feedback</t>
        </is>
      </c>
      <c r="D11" s="310" t="inlineStr">
        <is>
          <t>-</t>
        </is>
      </c>
      <c r="H11" s="87" t="n"/>
      <c r="I11" s="87" t="n"/>
      <c r="J11" s="90" t="n"/>
      <c r="K11" s="90" t="n"/>
      <c r="L11" s="90" t="n"/>
      <c r="M11" s="90" t="n"/>
      <c r="N11" s="90" t="n"/>
      <c r="O11" s="90" t="n"/>
      <c r="P11" s="87" t="n"/>
      <c r="Q11" s="93" t="n"/>
      <c r="T11" s="37" t="inlineStr">
        <is>
          <t>DWA: 02/28 - 03/07 2022</t>
        </is>
      </c>
      <c r="U11" s="37" t="n">
        <v>1</v>
      </c>
      <c r="V11" s="37" t="n">
        <v>1</v>
      </c>
      <c r="W11" s="37" t="n">
        <v>1</v>
      </c>
      <c r="X11" s="37" t="n">
        <v>0</v>
      </c>
      <c r="Y11" s="37" t="n">
        <v>0</v>
      </c>
      <c r="Z11" s="37" t="n">
        <v>0</v>
      </c>
      <c r="AA11" s="37" t="n">
        <v>0</v>
      </c>
      <c r="AB11" s="37" t="n">
        <v>0</v>
      </c>
      <c r="AC11" s="66">
        <f>W11-Y11</f>
        <v/>
      </c>
      <c r="AD11" s="115">
        <f>IF(W11,Y11/W11,0)</f>
        <v/>
      </c>
      <c r="AE11" s="115" t="n">
        <v>0</v>
      </c>
      <c r="AF11" s="115">
        <f>IF(W11,AA11/W11,0)</f>
        <v/>
      </c>
      <c r="AG11" s="37">
        <f>IF(X11,AB11/X11,0)</f>
        <v/>
      </c>
      <c r="AH11" s="53">
        <f>IF(U11,V11/U11,0)</f>
        <v/>
      </c>
      <c r="AI11" s="20"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DWA: 03/07 - 03/14 2022</t>
        </is>
      </c>
      <c r="U12" s="37" t="n">
        <v>5</v>
      </c>
      <c r="V12" s="37" t="n">
        <v>5</v>
      </c>
      <c r="W12" s="37" t="n">
        <v>3</v>
      </c>
      <c r="X12" s="37" t="n">
        <v>0</v>
      </c>
      <c r="Y12" s="37" t="n">
        <v>0</v>
      </c>
      <c r="Z12" s="37" t="n">
        <v>0</v>
      </c>
      <c r="AA12" s="37" t="n">
        <v>0</v>
      </c>
      <c r="AB12" s="37" t="n">
        <v>0</v>
      </c>
      <c r="AC12" s="66">
        <f>W12-Y12</f>
        <v/>
      </c>
      <c r="AD12" s="115">
        <f>IF(W12,Y12/W12,0)</f>
        <v/>
      </c>
      <c r="AE12" s="115" t="n">
        <v>0</v>
      </c>
      <c r="AF12" s="115">
        <f>IF(W12,AA12/W12,0)</f>
        <v/>
      </c>
      <c r="AG12" s="37">
        <f>IF(X12,AB12/X12,0)</f>
        <v/>
      </c>
      <c r="AH12" s="53">
        <f>IF(U12,V12/U12,0)</f>
        <v/>
      </c>
      <c r="AI12" s="20" t="n"/>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DWA: 03/14 - 03/21 2022</t>
        </is>
      </c>
      <c r="U13" s="37" t="n">
        <v>3</v>
      </c>
      <c r="V13" s="37" t="n">
        <v>3</v>
      </c>
      <c r="W13" s="37" t="n">
        <v>1</v>
      </c>
      <c r="X13" s="37" t="n">
        <v>0</v>
      </c>
      <c r="Y13" s="37" t="n">
        <v>0</v>
      </c>
      <c r="Z13" s="37" t="n">
        <v>0</v>
      </c>
      <c r="AA13" s="37" t="n">
        <v>0</v>
      </c>
      <c r="AB13" s="37" t="n">
        <v>0</v>
      </c>
      <c r="AC13" s="66">
        <f>W13-Y13</f>
        <v/>
      </c>
      <c r="AD13" s="115">
        <f>IF(W13,Y13/W13,0)</f>
        <v/>
      </c>
      <c r="AE13" s="115" t="n">
        <v>0</v>
      </c>
      <c r="AF13" s="115">
        <f>IF(W13,AA13/W13,0)</f>
        <v/>
      </c>
      <c r="AG13" s="37">
        <f>IF(X13,AB13/X13,0)</f>
        <v/>
      </c>
      <c r="AH13" s="53">
        <f>IF(U13,V13/U13,0)</f>
        <v/>
      </c>
      <c r="AI13" s="20" t="n"/>
    </row>
    <row r="14">
      <c r="B14" s="84" t="n"/>
      <c r="C14" s="100" t="inlineStr">
        <is>
          <t>On-site team</t>
        </is>
      </c>
      <c r="D14" s="309" t="inlineStr">
        <is>
          <t>Allocated</t>
        </is>
      </c>
      <c r="E14" s="316" t="n"/>
      <c r="F14" s="102" t="n">
        <v>0</v>
      </c>
      <c r="G14" s="86" t="n"/>
      <c r="H14" s="86" t="n"/>
      <c r="I14" s="86" t="n"/>
      <c r="J14" s="86" t="n"/>
      <c r="K14" s="86" t="n"/>
      <c r="L14" s="86" t="n"/>
      <c r="M14" s="86" t="n"/>
      <c r="N14" s="86" t="n"/>
      <c r="O14" s="86" t="n"/>
      <c r="P14" s="86" t="n"/>
      <c r="Q14" s="92" t="n"/>
      <c r="T14" s="37" t="inlineStr">
        <is>
          <t>DWA: 03/21 - 03/28 2022</t>
        </is>
      </c>
      <c r="U14" s="37" t="n">
        <v>2</v>
      </c>
      <c r="V14" s="37" t="n">
        <v>2</v>
      </c>
      <c r="W14" s="37" t="n">
        <v>1</v>
      </c>
      <c r="X14" s="37" t="n">
        <v>0</v>
      </c>
      <c r="Y14" s="37" t="n">
        <v>0</v>
      </c>
      <c r="Z14" s="37" t="n">
        <v>0</v>
      </c>
      <c r="AA14" s="37" t="n">
        <v>0</v>
      </c>
      <c r="AB14" s="37" t="n">
        <v>0</v>
      </c>
      <c r="AC14" s="66">
        <f>W14-Y14</f>
        <v/>
      </c>
      <c r="AD14" s="115">
        <f>IF(W14,Y14/W14,0)</f>
        <v/>
      </c>
      <c r="AE14" s="115" t="n">
        <v>0</v>
      </c>
      <c r="AF14" s="115">
        <f>IF(W14,AA14/W14,0)</f>
        <v/>
      </c>
      <c r="AG14" s="37">
        <f>IF(X14,AB14/X14,0)</f>
        <v/>
      </c>
      <c r="AH14" s="53">
        <f>IF(U14,V14/U14,0)</f>
        <v/>
      </c>
      <c r="AI14" s="60" t="n"/>
    </row>
    <row r="15">
      <c r="B15" s="94" t="n"/>
      <c r="C15" s="95" t="n"/>
      <c r="D15" s="96" t="n"/>
      <c r="E15" s="96" t="n"/>
      <c r="F15" s="96" t="n"/>
      <c r="G15" s="96" t="n"/>
      <c r="H15" s="96" t="n"/>
      <c r="I15" s="96" t="n"/>
      <c r="J15" s="96" t="n"/>
      <c r="K15" s="96" t="n"/>
      <c r="L15" s="96" t="n"/>
      <c r="M15" s="96" t="n"/>
      <c r="N15" s="97" t="n"/>
      <c r="O15" s="98" t="n"/>
      <c r="P15" s="98" t="n"/>
      <c r="Q15" s="99" t="n"/>
      <c r="T15" s="37" t="inlineStr">
        <is>
          <t>DWA: 03/28 - 04/04 2022</t>
        </is>
      </c>
      <c r="U15" s="37" t="n">
        <v>8</v>
      </c>
      <c r="V15" s="37" t="n">
        <v>8</v>
      </c>
      <c r="W15" s="37" t="n">
        <v>4</v>
      </c>
      <c r="X15" s="37" t="n">
        <v>0</v>
      </c>
      <c r="Y15" s="37" t="n">
        <v>0</v>
      </c>
      <c r="Z15" s="37" t="n">
        <v>0</v>
      </c>
      <c r="AA15" s="37" t="n">
        <v>0</v>
      </c>
      <c r="AB15" s="37" t="n">
        <v>0</v>
      </c>
      <c r="AC15" s="66">
        <f>W15-Y15</f>
        <v/>
      </c>
      <c r="AD15" s="115">
        <f>IF(W15,Y15/W15,0)</f>
        <v/>
      </c>
      <c r="AE15" s="115" t="n">
        <v>0</v>
      </c>
      <c r="AF15" s="115">
        <f>IF(W15,AA15/W15,0)</f>
        <v/>
      </c>
      <c r="AG15" s="37">
        <f>IF(X15,AB15/X15,0)</f>
        <v/>
      </c>
      <c r="AH15" s="53">
        <f>IF(U15,V15/U15,0)</f>
        <v/>
      </c>
      <c r="AI15" s="60" t="n"/>
    </row>
    <row r="16">
      <c r="T16" s="37" t="inlineStr">
        <is>
          <t>DWA: 04/04 - 04/11 2022</t>
        </is>
      </c>
      <c r="U16" s="37" t="n">
        <v>12</v>
      </c>
      <c r="V16" s="37" t="n">
        <v>12</v>
      </c>
      <c r="W16" s="37" t="n">
        <v>6</v>
      </c>
      <c r="X16" s="37" t="n">
        <v>0</v>
      </c>
      <c r="Y16" s="37" t="n">
        <v>0</v>
      </c>
      <c r="Z16" s="37" t="n">
        <v>0</v>
      </c>
      <c r="AA16" s="37" t="n">
        <v>0</v>
      </c>
      <c r="AB16" s="37" t="n">
        <v>0</v>
      </c>
      <c r="AC16" s="66">
        <f>W16-Y16</f>
        <v/>
      </c>
      <c r="AD16" s="115">
        <f>IF(W16,Y16/W16,0)</f>
        <v/>
      </c>
      <c r="AE16" s="115" t="n">
        <v>0</v>
      </c>
      <c r="AF16" s="115">
        <f>IF(W16,AA16/W16,0)</f>
        <v/>
      </c>
      <c r="AG16" s="37">
        <f>IF(X16,AB16/X16,0)</f>
        <v/>
      </c>
      <c r="AH16" s="53">
        <f>IF(U16,V16/U16,0)</f>
        <v/>
      </c>
      <c r="AI16" s="60" t="n"/>
    </row>
    <row r="17">
      <c r="T17" s="37" t="inlineStr">
        <is>
          <t>DWA: 04/11 - 04/18 2022</t>
        </is>
      </c>
      <c r="U17" s="37" t="n">
        <v>5</v>
      </c>
      <c r="V17" s="37" t="n">
        <v>5</v>
      </c>
      <c r="W17" s="37" t="n">
        <v>0</v>
      </c>
      <c r="X17" s="37" t="n">
        <v>2</v>
      </c>
      <c r="Y17" s="37" t="n">
        <v>0</v>
      </c>
      <c r="Z17" s="37" t="n">
        <v>0</v>
      </c>
      <c r="AA17" s="37" t="n">
        <v>0</v>
      </c>
      <c r="AB17" s="37" t="n">
        <v>0</v>
      </c>
      <c r="AC17" s="66">
        <f>W17-Y17</f>
        <v/>
      </c>
      <c r="AD17" s="115">
        <f>IF(W17,Y17/W17,0)</f>
        <v/>
      </c>
      <c r="AE17" s="115" t="n">
        <v>0</v>
      </c>
      <c r="AF17" s="115">
        <f>IF(W17,AA17/W17,0)</f>
        <v/>
      </c>
      <c r="AG17" s="37">
        <f>IF(X17,AB17/X17,0)</f>
        <v/>
      </c>
      <c r="AH17" s="53">
        <f>IF(U17,V17/U17,0)</f>
        <v/>
      </c>
      <c r="AI17" s="60" t="n"/>
    </row>
    <row r="18">
      <c r="T18" s="37" t="inlineStr">
        <is>
          <t>DWA: 04/18 - 04/25 2022</t>
        </is>
      </c>
      <c r="U18" s="37" t="n">
        <v>2</v>
      </c>
      <c r="V18" s="37" t="n">
        <v>2</v>
      </c>
      <c r="W18" s="37" t="n">
        <v>1</v>
      </c>
      <c r="X18" s="37" t="n">
        <v>0</v>
      </c>
      <c r="Y18" s="37" t="n">
        <v>0</v>
      </c>
      <c r="Z18" s="37" t="n">
        <v>0</v>
      </c>
      <c r="AA18" s="37" t="n">
        <v>0</v>
      </c>
      <c r="AB18" s="37" t="n">
        <v>0</v>
      </c>
      <c r="AC18" s="66">
        <f>W18-Y18</f>
        <v/>
      </c>
      <c r="AD18" s="115">
        <f>IF(W18,Y18/W18,0)</f>
        <v/>
      </c>
      <c r="AE18" s="115" t="n">
        <v>0</v>
      </c>
      <c r="AF18" s="115">
        <f>IF(W18,AA18/W18,0)</f>
        <v/>
      </c>
      <c r="AG18" s="37">
        <f>IF(X18,AB18/X18,0)</f>
        <v/>
      </c>
      <c r="AH18" s="53">
        <f>IF(U18,V18/U18,0)</f>
        <v/>
      </c>
      <c r="AI18" s="60" t="n"/>
    </row>
    <row r="19">
      <c r="T19" s="37" t="inlineStr">
        <is>
          <t>DWA: 04/25 - 05/02 2022</t>
        </is>
      </c>
      <c r="U19" s="37" t="n">
        <v>0</v>
      </c>
      <c r="V19" s="37" t="n">
        <v>0</v>
      </c>
      <c r="W19" s="37" t="n">
        <v>0</v>
      </c>
      <c r="X19" s="37" t="n">
        <v>0</v>
      </c>
      <c r="Y19" s="37" t="n">
        <v>0</v>
      </c>
      <c r="Z19" s="37" t="n">
        <v>0</v>
      </c>
      <c r="AA19" s="37" t="n">
        <v>0</v>
      </c>
      <c r="AB19" s="37" t="n">
        <v>0</v>
      </c>
      <c r="AC19" s="66">
        <f>W19-Y19</f>
        <v/>
      </c>
      <c r="AD19" s="115">
        <f>IF(W19,Y19/W19,0)</f>
        <v/>
      </c>
      <c r="AE19" s="115" t="n">
        <v>0</v>
      </c>
      <c r="AF19" s="115">
        <f>IF(W19,AA19/W19,0)</f>
        <v/>
      </c>
      <c r="AG19" s="37">
        <f>IF(X19,AB19/X19,0)</f>
        <v/>
      </c>
      <c r="AH19" s="53">
        <f>IF(U19,V19/U19,0)</f>
        <v/>
      </c>
      <c r="AI19" s="60" t="n"/>
      <c r="AK19" s="14" t="inlineStr">
        <is>
          <t>Kanban Week</t>
        </is>
      </c>
      <c r="AL19" s="15" t="inlineStr">
        <is>
          <t>V2</t>
        </is>
      </c>
      <c r="AM19" s="16" t="inlineStr">
        <is>
          <t>LT</t>
        </is>
      </c>
      <c r="AO19" s="5" t="inlineStr">
        <is>
          <t>QA Passed</t>
        </is>
      </c>
      <c r="AP19" s="6" t="n">
        <v>100</v>
      </c>
    </row>
    <row r="20">
      <c r="T20" s="37" t="inlineStr">
        <is>
          <t>DWA: 05/02 - 05/09 2022</t>
        </is>
      </c>
      <c r="U20" s="37" t="n">
        <v>5</v>
      </c>
      <c r="V20" s="37" t="n">
        <v>5</v>
      </c>
      <c r="W20" s="37" t="n">
        <v>2</v>
      </c>
      <c r="X20" s="37" t="n">
        <v>0</v>
      </c>
      <c r="Y20" s="37" t="n">
        <v>0</v>
      </c>
      <c r="Z20" s="37" t="n">
        <v>0</v>
      </c>
      <c r="AA20" s="37" t="n">
        <v>0</v>
      </c>
      <c r="AB20" s="37" t="n">
        <v>0</v>
      </c>
      <c r="AC20" s="66">
        <f>W20-Y20</f>
        <v/>
      </c>
      <c r="AD20" s="115">
        <f>IF(W20,Y20/W20,0)</f>
        <v/>
      </c>
      <c r="AE20" s="115" t="n">
        <v>0</v>
      </c>
      <c r="AF20" s="115">
        <f>IF(W20,AA20/W20,0)</f>
        <v/>
      </c>
      <c r="AG20" s="37">
        <f>IF(X20,AB20/X20,0)</f>
        <v/>
      </c>
      <c r="AH20" s="53">
        <f>IF(U20,V20/U20,0)</f>
        <v/>
      </c>
      <c r="AI20" s="60" t="n"/>
      <c r="AK20" s="9">
        <f>AK2</f>
        <v/>
      </c>
      <c r="AL20">
        <f>AL2</f>
        <v/>
      </c>
      <c r="AM20" s="10">
        <f>AM2</f>
        <v/>
      </c>
      <c r="AO20" s="7" t="inlineStr">
        <is>
          <t>Rework</t>
        </is>
      </c>
      <c r="AP20" s="8">
        <f>AP10</f>
        <v/>
      </c>
    </row>
    <row r="21">
      <c r="T21" s="37" t="inlineStr">
        <is>
          <t>DWA: 05/09 - 05/16 2022</t>
        </is>
      </c>
      <c r="U21" s="37" t="n">
        <v>9</v>
      </c>
      <c r="V21" s="37" t="n">
        <v>9</v>
      </c>
      <c r="W21" s="37" t="n">
        <v>6</v>
      </c>
      <c r="X21" s="37" t="n">
        <v>0</v>
      </c>
      <c r="Y21" s="37" t="n">
        <v>0</v>
      </c>
      <c r="Z21" s="37" t="n">
        <v>0</v>
      </c>
      <c r="AA21" s="37" t="n">
        <v>0</v>
      </c>
      <c r="AB21" s="37" t="n">
        <v>0</v>
      </c>
      <c r="AC21" s="66">
        <f>W21-Y21</f>
        <v/>
      </c>
      <c r="AD21" s="115">
        <f>IF(W21,Y21/W21,0)</f>
        <v/>
      </c>
      <c r="AE21" s="115" t="n">
        <v>0</v>
      </c>
      <c r="AF21" s="115">
        <f>IF(W21,AA21/W21,0)</f>
        <v/>
      </c>
      <c r="AG21" s="37">
        <f>IF(X21,AB21/X21,0)</f>
        <v/>
      </c>
      <c r="AH21" s="53">
        <f>IF(U21,V21/U21,0)</f>
        <v/>
      </c>
      <c r="AI21" s="60" t="n"/>
      <c r="AK21" s="9">
        <f>AK3</f>
        <v/>
      </c>
      <c r="AL21">
        <f>AL3</f>
        <v/>
      </c>
      <c r="AM21" s="10">
        <f>AM3</f>
        <v/>
      </c>
    </row>
    <row r="22">
      <c r="T22" s="37" t="inlineStr">
        <is>
          <t>DWA: 05/16 - 05/23 2022</t>
        </is>
      </c>
      <c r="U22" s="37" t="n">
        <v>13</v>
      </c>
      <c r="V22" s="37" t="n">
        <v>13</v>
      </c>
      <c r="W22" s="37" t="n">
        <v>6</v>
      </c>
      <c r="X22" s="37" t="n">
        <v>0</v>
      </c>
      <c r="Y22" s="37" t="n">
        <v>0</v>
      </c>
      <c r="Z22" s="37" t="n">
        <v>0</v>
      </c>
      <c r="AA22" s="37" t="n">
        <v>0</v>
      </c>
      <c r="AB22" s="37" t="n">
        <v>0</v>
      </c>
      <c r="AC22" s="66">
        <f>W22-Y22</f>
        <v/>
      </c>
      <c r="AD22" s="115">
        <f>IF(W22,Y22/W22,0)</f>
        <v/>
      </c>
      <c r="AE22" s="115" t="n">
        <v>0</v>
      </c>
      <c r="AF22" s="115">
        <f>IF(W22,AA22/W22,0)</f>
        <v/>
      </c>
      <c r="AG22" s="37">
        <f>IF(X22,AB22/X22,0)</f>
        <v/>
      </c>
      <c r="AH22" s="53">
        <f>IF(U22,V22/U22,0)</f>
        <v/>
      </c>
      <c r="AI22" s="61" t="n"/>
      <c r="AK22" s="9">
        <f>AK4</f>
        <v/>
      </c>
      <c r="AL22">
        <f>AL4</f>
        <v/>
      </c>
      <c r="AM22" s="10">
        <f>AM4</f>
        <v/>
      </c>
    </row>
    <row r="23">
      <c r="T23" s="37" t="inlineStr">
        <is>
          <t>DWA: 05/23 - 05/30 2022</t>
        </is>
      </c>
      <c r="U23" s="37" t="n">
        <v>6</v>
      </c>
      <c r="V23" s="37" t="n">
        <v>6</v>
      </c>
      <c r="W23" s="37" t="n">
        <v>4</v>
      </c>
      <c r="X23" s="37" t="n">
        <v>0</v>
      </c>
      <c r="Y23" s="37" t="n">
        <v>0</v>
      </c>
      <c r="Z23" s="37" t="n">
        <v>0</v>
      </c>
      <c r="AA23" s="37" t="n">
        <v>0</v>
      </c>
      <c r="AB23" s="37" t="n">
        <v>0</v>
      </c>
      <c r="AC23" s="66">
        <f>W23-Y23</f>
        <v/>
      </c>
      <c r="AD23" s="115">
        <f>IF(W23,Y23/W23,0)</f>
        <v/>
      </c>
      <c r="AE23" s="115" t="n">
        <v>0</v>
      </c>
      <c r="AF23" s="115">
        <f>IF(W23,AA23/W23,0)</f>
        <v/>
      </c>
      <c r="AG23" s="37">
        <f>IF(X23,AB23/X23,0)</f>
        <v/>
      </c>
      <c r="AH23" s="53">
        <f>IF(U23,V23/U23,0)</f>
        <v/>
      </c>
      <c r="AI23" s="61" t="n"/>
      <c r="AK23" s="9">
        <f>AK5</f>
        <v/>
      </c>
      <c r="AL23">
        <f>AL5</f>
        <v/>
      </c>
      <c r="AM23" s="10">
        <f>AM5</f>
        <v/>
      </c>
    </row>
    <row r="24">
      <c r="T24" s="37" t="inlineStr">
        <is>
          <t>DWA: 05/29 - 06/04 2022</t>
        </is>
      </c>
      <c r="U24" s="37" t="n">
        <v>8</v>
      </c>
      <c r="V24" s="37" t="n">
        <v>8</v>
      </c>
      <c r="W24" s="37" t="n">
        <v>4</v>
      </c>
      <c r="X24" s="37" t="n">
        <v>0</v>
      </c>
      <c r="Y24" s="37" t="n">
        <v>0</v>
      </c>
      <c r="Z24" s="37" t="n">
        <v>0</v>
      </c>
      <c r="AA24" s="37" t="n">
        <v>0</v>
      </c>
      <c r="AB24" s="37" t="n">
        <v>0</v>
      </c>
      <c r="AC24" s="66">
        <f>W24-Y24</f>
        <v/>
      </c>
      <c r="AD24" s="115">
        <f>IF(W24,Y24/W24,0)</f>
        <v/>
      </c>
      <c r="AE24" s="115" t="n">
        <v>0</v>
      </c>
      <c r="AF24" s="115">
        <f>IF(W24,AA24/W24,0)</f>
        <v/>
      </c>
      <c r="AG24" s="37">
        <f>IF(X24,AB24/X24,0)</f>
        <v/>
      </c>
      <c r="AH24" s="53">
        <f>IF(U24,V24/U24,0)</f>
        <v/>
      </c>
      <c r="AI24" s="61" t="n"/>
      <c r="AK24" s="9">
        <f>AK6</f>
        <v/>
      </c>
      <c r="AL24">
        <f>AL6</f>
        <v/>
      </c>
      <c r="AM24" s="10">
        <f>AM6</f>
        <v/>
      </c>
    </row>
    <row r="25">
      <c r="T25" s="37" t="inlineStr">
        <is>
          <t>DWA: 06/05 - 06/11 2022</t>
        </is>
      </c>
      <c r="U25" s="37" t="n">
        <v>12</v>
      </c>
      <c r="V25" s="37" t="n">
        <v>12</v>
      </c>
      <c r="W25" s="37" t="n">
        <v>6</v>
      </c>
      <c r="X25" s="37" t="n">
        <v>0</v>
      </c>
      <c r="Y25" s="37" t="n">
        <v>0</v>
      </c>
      <c r="Z25" s="37" t="n">
        <v>0</v>
      </c>
      <c r="AA25" s="37" t="n">
        <v>0</v>
      </c>
      <c r="AB25" s="37" t="n">
        <v>0</v>
      </c>
      <c r="AC25" s="66">
        <f>W25-Y25</f>
        <v/>
      </c>
      <c r="AD25" s="115">
        <f>IF(W25,Y25/W25,0)</f>
        <v/>
      </c>
      <c r="AE25" s="115" t="n">
        <v>0</v>
      </c>
      <c r="AF25" s="115">
        <f>IF(W25,AA25/W25,0)</f>
        <v/>
      </c>
      <c r="AG25" s="37">
        <f>IF(X25,AB25/X25,0)</f>
        <v/>
      </c>
      <c r="AH25" s="53">
        <f>IF(U25,V25/U25,0)</f>
        <v/>
      </c>
      <c r="AI25" s="61" t="n"/>
      <c r="AK25" s="9">
        <f>AK7</f>
        <v/>
      </c>
      <c r="AL25">
        <f>AL7</f>
        <v/>
      </c>
      <c r="AM25" s="10">
        <f>AM7</f>
        <v/>
      </c>
    </row>
    <row r="26">
      <c r="T26" s="37" t="inlineStr">
        <is>
          <t>DWA: 06/12 - 06/18 2022</t>
        </is>
      </c>
      <c r="U26" s="37" t="n">
        <v>7</v>
      </c>
      <c r="V26" s="37" t="n">
        <v>7</v>
      </c>
      <c r="W26" s="37" t="n">
        <v>3</v>
      </c>
      <c r="X26" s="37" t="n">
        <v>0</v>
      </c>
      <c r="Y26" s="37" t="n">
        <v>0</v>
      </c>
      <c r="Z26" s="37" t="n">
        <v>0</v>
      </c>
      <c r="AA26" s="37" t="n">
        <v>0</v>
      </c>
      <c r="AB26" s="37" t="n">
        <v>0</v>
      </c>
      <c r="AC26" s="66">
        <f>W26-Y26</f>
        <v/>
      </c>
      <c r="AD26" s="115">
        <f>IF(W26,Y26/W26,0)</f>
        <v/>
      </c>
      <c r="AE26" s="115" t="n">
        <v>0</v>
      </c>
      <c r="AF26" s="115">
        <f>IF(W26,AA26/W26,0)</f>
        <v/>
      </c>
      <c r="AG26" s="37">
        <f>IF(X26,AB26/X26,0)</f>
        <v/>
      </c>
      <c r="AH26" s="53">
        <f>IF(U26,V26/U26,0)</f>
        <v/>
      </c>
      <c r="AI26" s="62" t="n"/>
      <c r="AK26" s="9">
        <f>AK8</f>
        <v/>
      </c>
      <c r="AL26">
        <f>AL8</f>
        <v/>
      </c>
      <c r="AM26" s="10">
        <f>AM8</f>
        <v/>
      </c>
    </row>
    <row r="27">
      <c r="T27" s="37" t="inlineStr">
        <is>
          <t>DWA: 06/19 - 06/25 2022</t>
        </is>
      </c>
      <c r="U27" s="37" t="n">
        <v>9</v>
      </c>
      <c r="V27" s="37" t="n">
        <v>9</v>
      </c>
      <c r="W27" s="37" t="n">
        <v>5</v>
      </c>
      <c r="X27" s="37" t="n">
        <v>0</v>
      </c>
      <c r="Y27" s="37" t="n">
        <v>0</v>
      </c>
      <c r="Z27" s="37" t="n">
        <v>0</v>
      </c>
      <c r="AA27" s="37" t="n">
        <v>0</v>
      </c>
      <c r="AB27" s="37" t="n">
        <v>0</v>
      </c>
      <c r="AC27" s="66">
        <f>W27-Y27</f>
        <v/>
      </c>
      <c r="AD27" s="115">
        <f>IF(W27,Y27/W27,0)</f>
        <v/>
      </c>
      <c r="AE27" s="115" t="n">
        <v>0</v>
      </c>
      <c r="AF27" s="115">
        <f>IF(W27,AA27/W27,0)</f>
        <v/>
      </c>
      <c r="AG27" s="37">
        <f>IF(X27,AB27/X27,0)</f>
        <v/>
      </c>
      <c r="AH27" s="53">
        <f>IF(U27,V27/U27,0)</f>
        <v/>
      </c>
      <c r="AI27" s="62" t="n"/>
      <c r="AK27" s="9">
        <f>AK9</f>
        <v/>
      </c>
      <c r="AL27">
        <f>AL9</f>
        <v/>
      </c>
      <c r="AM27" s="10">
        <f>AM9</f>
        <v/>
      </c>
    </row>
    <row r="28">
      <c r="T28" s="37" t="inlineStr">
        <is>
          <t>DWA: 06/26 - 07/02 2022</t>
        </is>
      </c>
      <c r="U28" s="37" t="n">
        <v>12</v>
      </c>
      <c r="V28" s="37" t="n">
        <v>12</v>
      </c>
      <c r="W28" s="37" t="n">
        <v>5</v>
      </c>
      <c r="X28" s="37" t="n">
        <v>0</v>
      </c>
      <c r="Y28" s="37" t="n">
        <v>0</v>
      </c>
      <c r="Z28" s="37" t="n">
        <v>0</v>
      </c>
      <c r="AA28" s="37" t="n">
        <v>0</v>
      </c>
      <c r="AB28" s="37" t="n">
        <v>0</v>
      </c>
      <c r="AC28" s="66">
        <f>W28-Y28</f>
        <v/>
      </c>
      <c r="AD28" s="115">
        <f>IF(W28,Y28/W28,0)</f>
        <v/>
      </c>
      <c r="AE28" s="115" t="n">
        <v>0</v>
      </c>
      <c r="AF28" s="115">
        <f>IF(W28,AA28/W28,0)</f>
        <v/>
      </c>
      <c r="AG28" s="37">
        <f>IF(X28,AB28/X28,0)</f>
        <v/>
      </c>
      <c r="AH28" s="53">
        <f>IF(U28,V28/U28,0)</f>
        <v/>
      </c>
      <c r="AI28" s="62" t="n"/>
      <c r="AK28" s="9">
        <f>AK10</f>
        <v/>
      </c>
      <c r="AL28">
        <f>AL10</f>
        <v/>
      </c>
      <c r="AM28" s="10">
        <f>AM10</f>
        <v/>
      </c>
    </row>
    <row r="29">
      <c r="T29" s="37" t="inlineStr">
        <is>
          <t>DWA: 07/03 - 07/09 2022</t>
        </is>
      </c>
      <c r="U29" s="37" t="n">
        <v>9</v>
      </c>
      <c r="V29" s="37" t="n">
        <v>9</v>
      </c>
      <c r="W29" s="37" t="n">
        <v>5</v>
      </c>
      <c r="X29" s="37" t="n">
        <v>0</v>
      </c>
      <c r="Y29" s="37" t="n">
        <v>0</v>
      </c>
      <c r="Z29" s="37" t="n">
        <v>0</v>
      </c>
      <c r="AA29" s="37" t="n">
        <v>0</v>
      </c>
      <c r="AB29" s="37" t="n">
        <v>0</v>
      </c>
      <c r="AC29" s="66">
        <f>W29-Y29</f>
        <v/>
      </c>
      <c r="AD29" s="115">
        <f>IF(W29,Y29/W29,0)</f>
        <v/>
      </c>
      <c r="AE29" s="115" t="n">
        <v>0</v>
      </c>
      <c r="AF29" s="115">
        <f>IF(W29,AA29/W29,0)</f>
        <v/>
      </c>
      <c r="AG29" s="37">
        <f>IF(X29,AB29/X29,0)</f>
        <v/>
      </c>
      <c r="AH29" s="53">
        <f>IF(U29,V29/U29,0)</f>
        <v/>
      </c>
      <c r="AI29" s="62" t="n"/>
      <c r="AK29" s="9">
        <f>AK11</f>
        <v/>
      </c>
      <c r="AL29">
        <f>AL11</f>
        <v/>
      </c>
      <c r="AM29" s="10">
        <f>AM11</f>
        <v/>
      </c>
    </row>
    <row r="30">
      <c r="T30" s="37" t="inlineStr">
        <is>
          <t>DWA: 07/10 - 07/16 2022</t>
        </is>
      </c>
      <c r="U30" s="37" t="n">
        <v>9</v>
      </c>
      <c r="V30" s="37" t="n">
        <v>9</v>
      </c>
      <c r="W30" s="37" t="n">
        <v>5</v>
      </c>
      <c r="X30" s="37" t="n">
        <v>0</v>
      </c>
      <c r="Y30" s="37" t="n">
        <v>0</v>
      </c>
      <c r="Z30" s="37" t="n">
        <v>0</v>
      </c>
      <c r="AA30" s="37" t="n">
        <v>0</v>
      </c>
      <c r="AB30" s="37" t="n">
        <v>0</v>
      </c>
      <c r="AC30" s="66">
        <f>W30-Y30</f>
        <v/>
      </c>
      <c r="AD30" s="115">
        <f>IF(W30,Y30/W30,0)</f>
        <v/>
      </c>
      <c r="AE30" s="115" t="n">
        <v>0</v>
      </c>
      <c r="AF30" s="115">
        <f>IF(W30,AA30/W30,0)</f>
        <v/>
      </c>
      <c r="AG30" s="37">
        <f>IF(X30,AB30/X30,0)</f>
        <v/>
      </c>
      <c r="AH30" s="53">
        <f>IF(U30,V30/U30,0)</f>
        <v/>
      </c>
      <c r="AI30" s="62" t="n"/>
      <c r="AK30" s="9">
        <f>AK12</f>
        <v/>
      </c>
      <c r="AL30">
        <f>AL12</f>
        <v/>
      </c>
      <c r="AM30" s="10">
        <f>AM12</f>
        <v/>
      </c>
    </row>
    <row r="31">
      <c r="T31" s="37" t="inlineStr">
        <is>
          <t>DWA: 07/17 - 07/23 2022</t>
        </is>
      </c>
      <c r="U31" s="37" t="n">
        <v>14</v>
      </c>
      <c r="V31" s="37" t="n">
        <v>14</v>
      </c>
      <c r="W31" s="37" t="n">
        <v>6</v>
      </c>
      <c r="X31" s="37" t="n">
        <v>0</v>
      </c>
      <c r="Y31" s="37" t="n">
        <v>0</v>
      </c>
      <c r="Z31" s="37" t="n">
        <v>0</v>
      </c>
      <c r="AA31" s="37" t="n">
        <v>0</v>
      </c>
      <c r="AB31" s="37" t="n">
        <v>0</v>
      </c>
      <c r="AC31" s="66">
        <f>W31-Y31</f>
        <v/>
      </c>
      <c r="AD31" s="115">
        <f>IF(W31,Y31/W31,0)</f>
        <v/>
      </c>
      <c r="AE31" s="115" t="n">
        <v>0</v>
      </c>
      <c r="AF31" s="115">
        <f>IF(W31,AA31/W31,0)</f>
        <v/>
      </c>
      <c r="AG31" s="37">
        <f>IF(X31,AB31/X31,0)</f>
        <v/>
      </c>
      <c r="AH31" s="53">
        <f>IF(U31,V31/U31,0)</f>
        <v/>
      </c>
      <c r="AI31" s="62" t="n"/>
      <c r="AK31" s="9">
        <f>AK13</f>
        <v/>
      </c>
      <c r="AL31">
        <f>AL13</f>
        <v/>
      </c>
      <c r="AM31" s="10">
        <f>AM13</f>
        <v/>
      </c>
    </row>
    <row r="32">
      <c r="T32" s="37" t="inlineStr">
        <is>
          <t>DWA: 07/24 - 07/30 2022</t>
        </is>
      </c>
      <c r="U32" s="37" t="n">
        <v>4</v>
      </c>
      <c r="V32" s="37" t="n">
        <v>4</v>
      </c>
      <c r="W32" s="37" t="n">
        <v>2</v>
      </c>
      <c r="X32" s="37" t="n">
        <v>0</v>
      </c>
      <c r="Y32" s="37" t="n">
        <v>0</v>
      </c>
      <c r="Z32" s="37" t="n">
        <v>0</v>
      </c>
      <c r="AA32" s="37" t="n">
        <v>0</v>
      </c>
      <c r="AB32" s="37" t="n">
        <v>0</v>
      </c>
      <c r="AC32" s="66">
        <f>W32-Y32</f>
        <v/>
      </c>
      <c r="AD32" s="115">
        <f>IF(W32,Y32/W32,0)</f>
        <v/>
      </c>
      <c r="AE32" s="115" t="n">
        <v>0</v>
      </c>
      <c r="AF32" s="115">
        <f>IF(W32,AA32/W32,0)</f>
        <v/>
      </c>
      <c r="AG32" s="37">
        <f>IF(X32,AB32/X32,0)</f>
        <v/>
      </c>
      <c r="AH32" s="53">
        <f>IF(U32,V32/U32,0)</f>
        <v/>
      </c>
      <c r="AI32" s="104" t="n"/>
      <c r="AK32" s="9">
        <f>AK14</f>
        <v/>
      </c>
      <c r="AL32">
        <f>AL14</f>
        <v/>
      </c>
      <c r="AM32" s="10">
        <f>AM14</f>
        <v/>
      </c>
    </row>
    <row r="33">
      <c r="T33" s="37" t="inlineStr">
        <is>
          <t>DWA: 07/31 - 08/06 2022</t>
        </is>
      </c>
      <c r="U33" s="37" t="n">
        <v>6</v>
      </c>
      <c r="V33" s="37" t="n">
        <v>6</v>
      </c>
      <c r="W33" s="37" t="n">
        <v>2</v>
      </c>
      <c r="X33" s="37" t="n">
        <v>0</v>
      </c>
      <c r="Y33" s="37" t="n">
        <v>0</v>
      </c>
      <c r="Z33" s="37" t="n">
        <v>0</v>
      </c>
      <c r="AA33" s="37" t="n">
        <v>0</v>
      </c>
      <c r="AB33" s="37" t="n">
        <v>0</v>
      </c>
      <c r="AC33" s="66">
        <f>W33-Y33</f>
        <v/>
      </c>
      <c r="AD33" s="115">
        <f>IF(W33,Y33/W33,0)</f>
        <v/>
      </c>
      <c r="AE33" s="115" t="n">
        <v>0</v>
      </c>
      <c r="AF33" s="115">
        <f>IF(W33,AA33/W33,0)</f>
        <v/>
      </c>
      <c r="AG33" s="37">
        <f>IF(X33,AB33/X33,0)</f>
        <v/>
      </c>
      <c r="AH33" s="53">
        <f>IF(U33,V33/U33,0)</f>
        <v/>
      </c>
      <c r="AI33" s="104" t="n"/>
      <c r="AK33" s="11">
        <f>AK17</f>
        <v/>
      </c>
      <c r="AL33" s="12">
        <f>AL15</f>
        <v/>
      </c>
      <c r="AM33" s="13">
        <f>AM15</f>
        <v/>
      </c>
    </row>
    <row r="34">
      <c r="T34" s="37" t="inlineStr">
        <is>
          <t>DWA: 08/07 - 08/13 2022</t>
        </is>
      </c>
      <c r="U34" s="37" t="n">
        <v>11</v>
      </c>
      <c r="V34" s="37" t="n">
        <v>11</v>
      </c>
      <c r="W34" s="37" t="n">
        <v>4</v>
      </c>
      <c r="X34" s="37" t="n">
        <v>0</v>
      </c>
      <c r="Y34" s="37" t="n">
        <v>0</v>
      </c>
      <c r="Z34" s="37" t="n">
        <v>0</v>
      </c>
      <c r="AA34" s="37" t="n">
        <v>0</v>
      </c>
      <c r="AB34" s="37" t="n">
        <v>0</v>
      </c>
      <c r="AC34" s="66">
        <f>W34-Y34</f>
        <v/>
      </c>
      <c r="AD34" s="115">
        <f>IF(W34,Y34/W34,0)</f>
        <v/>
      </c>
      <c r="AE34" s="115" t="n">
        <v>0</v>
      </c>
      <c r="AF34" s="115">
        <f>IF(W34,AA34/W34,0)</f>
        <v/>
      </c>
      <c r="AG34" s="37">
        <f>IF(X34,AB34/X34,0)</f>
        <v/>
      </c>
      <c r="AH34" s="53">
        <f>IF(U34,V34/U34,0)</f>
        <v/>
      </c>
      <c r="AI34" s="104" t="n"/>
    </row>
    <row r="35">
      <c r="T35" s="37" t="inlineStr">
        <is>
          <t>DWA: 08/14 - 08/20 2022</t>
        </is>
      </c>
      <c r="U35" s="37" t="n">
        <v>4</v>
      </c>
      <c r="V35" s="37" t="n">
        <v>4</v>
      </c>
      <c r="W35" s="37" t="n">
        <v>2</v>
      </c>
      <c r="X35" s="37" t="n">
        <v>0</v>
      </c>
      <c r="Y35" s="37" t="n">
        <v>0</v>
      </c>
      <c r="Z35" s="37" t="n">
        <v>0</v>
      </c>
      <c r="AA35" s="37" t="n">
        <v>0</v>
      </c>
      <c r="AB35" s="37" t="n">
        <v>0</v>
      </c>
      <c r="AC35" s="66">
        <f>W35-Y35</f>
        <v/>
      </c>
      <c r="AD35" s="115">
        <f>IF(W35,Y35/W35,0)</f>
        <v/>
      </c>
      <c r="AE35" s="115" t="n">
        <v>0</v>
      </c>
      <c r="AF35" s="115">
        <f>IF(W35,AA35/W35,0)</f>
        <v/>
      </c>
      <c r="AG35" s="37">
        <f>IF(X35,AB35/X35,0)</f>
        <v/>
      </c>
      <c r="AH35" s="53">
        <f>IF(U35,V35/U35,0)</f>
        <v/>
      </c>
      <c r="AI35" s="104" t="n"/>
    </row>
    <row r="36">
      <c r="T36" s="37" t="inlineStr">
        <is>
          <t>DWA: 08/21 - 08/27 2022</t>
        </is>
      </c>
      <c r="U36" s="37" t="n">
        <v>6</v>
      </c>
      <c r="V36" s="37" t="n">
        <v>6</v>
      </c>
      <c r="W36" s="37" t="n">
        <v>3</v>
      </c>
      <c r="X36" s="37" t="n">
        <v>0</v>
      </c>
      <c r="Y36" s="37" t="n">
        <v>0</v>
      </c>
      <c r="Z36" s="37" t="n">
        <v>0</v>
      </c>
      <c r="AA36" s="37" t="n">
        <v>0</v>
      </c>
      <c r="AB36" s="37" t="n">
        <v>0</v>
      </c>
      <c r="AC36" s="66">
        <f>W36-Y36</f>
        <v/>
      </c>
      <c r="AD36" s="115">
        <f>IF(W36,Y36/W36,0)</f>
        <v/>
      </c>
      <c r="AE36" s="115" t="n">
        <v>0</v>
      </c>
      <c r="AF36" s="115">
        <f>IF(W36,AA36/W36,0)</f>
        <v/>
      </c>
      <c r="AG36" s="37">
        <f>IF(X36,AB36/X36,0)</f>
        <v/>
      </c>
      <c r="AH36" s="53">
        <f>IF(U36,V36/U36,0)</f>
        <v/>
      </c>
      <c r="AI36" s="104" t="n"/>
    </row>
    <row r="37">
      <c r="T37" s="114" t="inlineStr">
        <is>
          <t>DWA: 08/28 - 09/03 2022</t>
        </is>
      </c>
      <c r="U37" s="37" t="n">
        <v>2</v>
      </c>
      <c r="V37" s="37" t="n">
        <v>2</v>
      </c>
      <c r="W37" s="37" t="n">
        <v>1</v>
      </c>
      <c r="X37" s="37" t="n">
        <v>0</v>
      </c>
      <c r="Y37" s="37" t="n">
        <v>0</v>
      </c>
      <c r="Z37" s="37" t="n">
        <v>0</v>
      </c>
      <c r="AA37" s="37" t="n">
        <v>0</v>
      </c>
      <c r="AB37" s="37" t="n">
        <v>0</v>
      </c>
      <c r="AC37" s="66">
        <f>W37-Y37</f>
        <v/>
      </c>
      <c r="AD37" s="115">
        <f>IF(W37,Y37/W37,0)</f>
        <v/>
      </c>
      <c r="AE37" s="115" t="n">
        <v>0</v>
      </c>
      <c r="AF37" s="115">
        <f>IF(W37,AA37/W37,0)</f>
        <v/>
      </c>
      <c r="AG37" s="37">
        <f>IF(X37,AB37/X37,0)</f>
        <v/>
      </c>
      <c r="AH37" s="53">
        <f>IF(U37,V37/U37,0)</f>
        <v/>
      </c>
      <c r="AI37" s="104" t="n"/>
      <c r="AK37" s="4" t="inlineStr">
        <is>
          <t>Row Labels</t>
        </is>
      </c>
      <c r="AL37" t="inlineStr">
        <is>
          <t>Sum of V2 Reopen Percentage</t>
        </is>
      </c>
      <c r="AM37" t="inlineStr">
        <is>
          <t>Sum of LT Reopen Percentage</t>
        </is>
      </c>
      <c r="AO37" s="4" t="inlineStr">
        <is>
          <t>Row Labels</t>
        </is>
      </c>
      <c r="AP37" t="inlineStr">
        <is>
          <t>Sum of V2 Carryover Percentage</t>
        </is>
      </c>
      <c r="AQ37" t="inlineStr">
        <is>
          <t>Sum of LT Carryover Percentage</t>
        </is>
      </c>
    </row>
    <row r="38">
      <c r="T38" s="114" t="inlineStr">
        <is>
          <t>DWA: 09/04 - 09/10 2022</t>
        </is>
      </c>
      <c r="U38" s="37" t="n">
        <v>5</v>
      </c>
      <c r="V38" s="37" t="n">
        <v>5</v>
      </c>
      <c r="W38" s="37" t="n">
        <v>2</v>
      </c>
      <c r="X38" s="37" t="n">
        <v>0</v>
      </c>
      <c r="Y38" s="37" t="n">
        <v>0</v>
      </c>
      <c r="Z38" s="37" t="n">
        <v>0</v>
      </c>
      <c r="AA38" s="37" t="n">
        <v>0</v>
      </c>
      <c r="AB38" s="37" t="n">
        <v>0</v>
      </c>
      <c r="AC38" s="66">
        <f>W38-Y38</f>
        <v/>
      </c>
      <c r="AD38" s="115">
        <f>IF(W38,Y38/W38,0)</f>
        <v/>
      </c>
      <c r="AE38" s="115" t="n">
        <v>0</v>
      </c>
      <c r="AF38" s="115">
        <f>IF(W38,AA38/W38,0)</f>
        <v/>
      </c>
      <c r="AG38" s="37">
        <f>IF(X38,AB38/X38,0)</f>
        <v/>
      </c>
      <c r="AH38" s="53">
        <f>IF(U38,V38/U38,0)</f>
        <v/>
      </c>
      <c r="AI38" s="104" t="n"/>
    </row>
    <row r="39">
      <c r="T39" s="114" t="inlineStr">
        <is>
          <t>DWA: 09/11 - 09/17 2022</t>
        </is>
      </c>
      <c r="U39" s="37" t="n">
        <v>8</v>
      </c>
      <c r="V39" s="37" t="n">
        <v>8</v>
      </c>
      <c r="W39" s="37" t="n">
        <v>4</v>
      </c>
      <c r="X39" s="37" t="n">
        <v>0</v>
      </c>
      <c r="Y39" s="37" t="n">
        <v>0</v>
      </c>
      <c r="Z39" s="37" t="n">
        <v>0</v>
      </c>
      <c r="AA39" s="37" t="n">
        <v>0</v>
      </c>
      <c r="AB39" s="37" t="n">
        <v>0</v>
      </c>
      <c r="AC39" s="66">
        <f>W39-Y39</f>
        <v/>
      </c>
      <c r="AD39" s="115">
        <f>IF(W39,Y39/W39,0)</f>
        <v/>
      </c>
      <c r="AE39" s="115" t="n">
        <v>0</v>
      </c>
      <c r="AF39" s="115">
        <f>IF(W39,AA39/W39,0)</f>
        <v/>
      </c>
      <c r="AG39" s="37">
        <f>IF(X39,AB39/X39,0)</f>
        <v/>
      </c>
      <c r="AH39" s="53">
        <f>IF(U39,V39/U39,0)</f>
        <v/>
      </c>
      <c r="AI39" s="104" t="n"/>
    </row>
    <row r="40">
      <c r="T40" s="114" t="inlineStr">
        <is>
          <t>DWA: 09/18 - 09/24 2022</t>
        </is>
      </c>
      <c r="U40" s="37" t="n">
        <v>8</v>
      </c>
      <c r="V40" s="37" t="n">
        <v>8</v>
      </c>
      <c r="W40" s="37" t="n">
        <v>4</v>
      </c>
      <c r="X40" s="37" t="n">
        <v>0</v>
      </c>
      <c r="Y40" s="37" t="n">
        <v>0</v>
      </c>
      <c r="Z40" s="37" t="n">
        <v>0</v>
      </c>
      <c r="AA40" s="37" t="n">
        <v>0</v>
      </c>
      <c r="AB40" s="37" t="n">
        <v>0</v>
      </c>
      <c r="AC40" s="66">
        <f>W40-Y40</f>
        <v/>
      </c>
      <c r="AD40" s="115">
        <f>IF(W40,Y40/W40,0)</f>
        <v/>
      </c>
      <c r="AE40" s="115" t="n">
        <v>0</v>
      </c>
      <c r="AF40" s="115">
        <f>IF(W40,AA40/W40,0)</f>
        <v/>
      </c>
      <c r="AG40" s="37">
        <f>IF(X40,AB40/X40,0)</f>
        <v/>
      </c>
      <c r="AH40" s="53">
        <f>IF(U40,V40/U40,0)</f>
        <v/>
      </c>
      <c r="AI40" s="104" t="n"/>
    </row>
    <row r="41">
      <c r="T41" s="114" t="inlineStr">
        <is>
          <t>DWA: 09/25 - 10/01 2022</t>
        </is>
      </c>
      <c r="U41" s="37" t="n">
        <v>8</v>
      </c>
      <c r="V41" s="37" t="n">
        <v>8</v>
      </c>
      <c r="W41" s="37" t="n">
        <v>4</v>
      </c>
      <c r="X41" s="37" t="n">
        <v>0</v>
      </c>
      <c r="Y41" s="37" t="n">
        <v>0</v>
      </c>
      <c r="Z41" s="37" t="n">
        <v>0</v>
      </c>
      <c r="AA41" s="37" t="n">
        <v>0</v>
      </c>
      <c r="AB41" s="37" t="n">
        <v>0</v>
      </c>
      <c r="AC41" s="66">
        <f>W41-Y41</f>
        <v/>
      </c>
      <c r="AD41" s="115">
        <f>IF(W41,Y41/W41,0)</f>
        <v/>
      </c>
      <c r="AE41" s="115" t="n">
        <v>0</v>
      </c>
      <c r="AF41" s="115">
        <f>IF(W41,AA41/W41,0)</f>
        <v/>
      </c>
      <c r="AG41" s="37">
        <f>IF(X41,AB41/X41,0)</f>
        <v/>
      </c>
      <c r="AH41" s="53">
        <f>IF(U41,V41/U41,0)</f>
        <v/>
      </c>
      <c r="AI41" s="104" t="n"/>
    </row>
    <row r="42">
      <c r="T42" s="37" t="inlineStr">
        <is>
          <t>DWA: 10/02 - 10/08 2022</t>
        </is>
      </c>
      <c r="U42" s="37" t="n">
        <v>4</v>
      </c>
      <c r="V42" s="37" t="n">
        <v>4</v>
      </c>
      <c r="W42" s="37" t="n">
        <v>2</v>
      </c>
      <c r="X42" s="37" t="n">
        <v>0</v>
      </c>
      <c r="Y42" s="37" t="n">
        <v>0</v>
      </c>
      <c r="Z42" s="37" t="n">
        <v>0</v>
      </c>
      <c r="AA42" s="37" t="n">
        <v>0</v>
      </c>
      <c r="AB42" s="37" t="n">
        <v>0</v>
      </c>
      <c r="AC42" s="66">
        <f>W42-Y42</f>
        <v/>
      </c>
      <c r="AD42" s="115">
        <f>IF(W42,Y42/W42,0)</f>
        <v/>
      </c>
      <c r="AE42" s="115" t="n">
        <v>0</v>
      </c>
      <c r="AF42" s="115">
        <f>IF(W42,AA42/W42,0)</f>
        <v/>
      </c>
      <c r="AG42" s="37">
        <f>IF(X42,AB42/X42,0)</f>
        <v/>
      </c>
      <c r="AH42" s="53">
        <f>IF(U42,V42/U42,0)</f>
        <v/>
      </c>
      <c r="AI42" s="77" t="n"/>
    </row>
    <row r="43">
      <c r="T43" s="37" t="inlineStr">
        <is>
          <t>DWA: 10/09 - 10/15 2022</t>
        </is>
      </c>
      <c r="U43" s="37" t="n">
        <v>5</v>
      </c>
      <c r="V43" s="37" t="n">
        <v>5</v>
      </c>
      <c r="W43" s="37" t="n">
        <v>3</v>
      </c>
      <c r="X43" s="37" t="n">
        <v>0</v>
      </c>
      <c r="Y43" s="37" t="n">
        <v>0</v>
      </c>
      <c r="Z43" s="37" t="n">
        <v>0</v>
      </c>
      <c r="AA43" s="37" t="n">
        <v>0</v>
      </c>
      <c r="AB43" s="37" t="n">
        <v>0</v>
      </c>
      <c r="AC43" s="66">
        <f>W43-Y43</f>
        <v/>
      </c>
      <c r="AD43" s="115">
        <f>IF(W43,Y43/W43,0)</f>
        <v/>
      </c>
      <c r="AE43" s="115" t="n">
        <v>0</v>
      </c>
      <c r="AF43" s="115">
        <f>IF(W43,AA43/W43,0)</f>
        <v/>
      </c>
      <c r="AG43" s="37">
        <f>IF(X43,AB43/X43,0)</f>
        <v/>
      </c>
      <c r="AH43" s="53">
        <f>IF(U43,V43/U43,0)</f>
        <v/>
      </c>
      <c r="AI43" s="77" t="n"/>
    </row>
    <row r="44">
      <c r="T44" s="37" t="inlineStr">
        <is>
          <t>DWA: 10/16 - 10/22 2022</t>
        </is>
      </c>
      <c r="U44" s="37" t="n">
        <v>20</v>
      </c>
      <c r="V44" s="37" t="n">
        <v>20</v>
      </c>
      <c r="W44" s="37" t="n">
        <v>9</v>
      </c>
      <c r="X44" s="37" t="n">
        <v>0</v>
      </c>
      <c r="Y44" s="37" t="n">
        <v>0</v>
      </c>
      <c r="Z44" s="37" t="n">
        <v>0</v>
      </c>
      <c r="AA44" s="37" t="n">
        <v>0</v>
      </c>
      <c r="AB44" s="37" t="n">
        <v>0</v>
      </c>
      <c r="AC44" s="66">
        <f>W44-Y44</f>
        <v/>
      </c>
      <c r="AD44" s="115">
        <f>IF(W44,Y44/W44,0)</f>
        <v/>
      </c>
      <c r="AE44" s="115" t="n">
        <v>0</v>
      </c>
      <c r="AF44" s="115">
        <f>IF(W44,AA44/W44,0)</f>
        <v/>
      </c>
      <c r="AG44" s="37">
        <f>IF(X44,AB44/X44,0)</f>
        <v/>
      </c>
      <c r="AH44" s="53">
        <f>IF(U44,V44/U44,0)</f>
        <v/>
      </c>
      <c r="AI44" s="77" t="n"/>
    </row>
    <row r="45">
      <c r="T45" s="37" t="inlineStr">
        <is>
          <t>DWA: 10/23 - 10/29 2022</t>
        </is>
      </c>
      <c r="U45" s="37" t="n">
        <v>2</v>
      </c>
      <c r="V45" s="37" t="n">
        <v>2</v>
      </c>
      <c r="W45" s="37" t="n">
        <v>1</v>
      </c>
      <c r="X45" s="37" t="n">
        <v>0</v>
      </c>
      <c r="Y45" s="37" t="n">
        <v>0</v>
      </c>
      <c r="Z45" s="37" t="n">
        <v>0</v>
      </c>
      <c r="AA45" s="37" t="n">
        <v>0</v>
      </c>
      <c r="AB45" s="37" t="n">
        <v>0</v>
      </c>
      <c r="AC45" s="66">
        <f>W45-Y45</f>
        <v/>
      </c>
      <c r="AD45" s="115">
        <f>IF(W45,Y45/W45,0)</f>
        <v/>
      </c>
      <c r="AE45" s="115" t="n">
        <v>0</v>
      </c>
      <c r="AF45" s="115">
        <f>IF(W45,AA45/W45,0)</f>
        <v/>
      </c>
      <c r="AG45" s="37">
        <f>IF(X45,AB45/X45,0)</f>
        <v/>
      </c>
      <c r="AH45" s="53">
        <f>IF(U45,V45/U45,0)</f>
        <v/>
      </c>
      <c r="AI45" s="117" t="n"/>
    </row>
    <row r="46">
      <c r="T46" s="37" t="inlineStr">
        <is>
          <t>DWA: 10/30 - 11/05 2022</t>
        </is>
      </c>
      <c r="U46" s="37" t="n">
        <v>2</v>
      </c>
      <c r="V46" s="37" t="n">
        <v>2</v>
      </c>
      <c r="W46" s="37" t="n">
        <v>1</v>
      </c>
      <c r="X46" s="37" t="n">
        <v>0</v>
      </c>
      <c r="Y46" s="37" t="n">
        <v>0</v>
      </c>
      <c r="Z46" s="37" t="n">
        <v>0</v>
      </c>
      <c r="AA46" s="37" t="n">
        <v>0</v>
      </c>
      <c r="AB46" s="37" t="n">
        <v>0</v>
      </c>
      <c r="AC46" s="66">
        <f>W46-Y46</f>
        <v/>
      </c>
      <c r="AD46" s="115">
        <f>IF(W46,Y46/W46,0)</f>
        <v/>
      </c>
      <c r="AE46" s="115" t="n">
        <v>0</v>
      </c>
      <c r="AF46" s="115">
        <f>IF(W46,AA46/W46,0)</f>
        <v/>
      </c>
      <c r="AG46" s="37">
        <f>IF(X46,AB46/X46,0)</f>
        <v/>
      </c>
      <c r="AH46" s="53">
        <f>IF(U46,V46/U46,0)</f>
        <v/>
      </c>
      <c r="AI46" s="117" t="n"/>
    </row>
    <row r="47">
      <c r="T47" s="37" t="inlineStr">
        <is>
          <t>DWA: 11/06 - 11/12 2022</t>
        </is>
      </c>
      <c r="U47" s="37" t="n">
        <v>5</v>
      </c>
      <c r="V47" s="37" t="n">
        <v>5</v>
      </c>
      <c r="W47" s="37" t="n">
        <v>2</v>
      </c>
      <c r="X47" s="37" t="n">
        <v>0</v>
      </c>
      <c r="Y47" s="37" t="n">
        <v>0</v>
      </c>
      <c r="Z47" s="37" t="n">
        <v>0</v>
      </c>
      <c r="AA47" s="37" t="n">
        <v>0</v>
      </c>
      <c r="AB47" s="37" t="n">
        <v>0</v>
      </c>
      <c r="AC47" s="66">
        <f>W47-Y47</f>
        <v/>
      </c>
      <c r="AD47" s="115">
        <f>IF(W47,Y47/W47,0)</f>
        <v/>
      </c>
      <c r="AE47" s="115" t="n">
        <v>0</v>
      </c>
      <c r="AF47" s="115">
        <f>IF(W47,AA47/W47,0)</f>
        <v/>
      </c>
      <c r="AG47" s="37">
        <f>IF(X47,AB47/X47,0)</f>
        <v/>
      </c>
      <c r="AH47" s="53">
        <f>IF(U47,V47/U47,0)</f>
        <v/>
      </c>
      <c r="AI47" s="77" t="n"/>
    </row>
    <row r="48">
      <c r="T48" s="66" t="inlineStr">
        <is>
          <t>DWA: 11/13 - 11/19 2022</t>
        </is>
      </c>
      <c r="U48" s="66" t="n">
        <v>10</v>
      </c>
      <c r="V48" s="66" t="n">
        <v>10</v>
      </c>
      <c r="W48" s="66" t="n">
        <v>5</v>
      </c>
      <c r="X48" s="66" t="n">
        <v>0</v>
      </c>
      <c r="Y48" s="66" t="n">
        <v>0</v>
      </c>
      <c r="Z48" s="66" t="n">
        <v>0</v>
      </c>
      <c r="AA48" s="66" t="n">
        <v>0</v>
      </c>
      <c r="AB48" s="66" t="n">
        <v>0</v>
      </c>
      <c r="AC48" s="66">
        <f>W48-Y48</f>
        <v/>
      </c>
      <c r="AD48" s="115">
        <f>IF(W48,Y48/W48,0)</f>
        <v/>
      </c>
      <c r="AE48" s="115" t="n">
        <v>0</v>
      </c>
      <c r="AF48" s="115">
        <f>IF(W48,AA48/W48,0)</f>
        <v/>
      </c>
      <c r="AG48" s="37">
        <f>IF(X48,AB48/X48,0)</f>
        <v/>
      </c>
      <c r="AH48" s="53">
        <f>IF(U48,V48/U48,0)</f>
        <v/>
      </c>
      <c r="AI48" s="120" t="n"/>
    </row>
    <row r="49">
      <c r="T49" s="37" t="inlineStr">
        <is>
          <t>DWA: 11/20 - 11/26 2022</t>
        </is>
      </c>
      <c r="U49" s="37" t="n">
        <v>11</v>
      </c>
      <c r="V49" s="37" t="n">
        <v>11</v>
      </c>
      <c r="W49" s="37" t="n">
        <v>5</v>
      </c>
      <c r="X49" s="37" t="n">
        <v>0</v>
      </c>
      <c r="Y49" s="37" t="n">
        <v>0</v>
      </c>
      <c r="Z49" s="37" t="n">
        <v>0</v>
      </c>
      <c r="AA49" s="37" t="n">
        <v>0</v>
      </c>
      <c r="AB49" s="37" t="n">
        <v>0</v>
      </c>
      <c r="AC49" s="66">
        <f>W49-Y49</f>
        <v/>
      </c>
      <c r="AD49" s="115">
        <f>IF(W49,Y49/W49,0)</f>
        <v/>
      </c>
      <c r="AE49" s="115" t="n">
        <v>0</v>
      </c>
      <c r="AF49" s="115">
        <f>IF(W49,AA49/W49,0)</f>
        <v/>
      </c>
      <c r="AG49" s="37">
        <f>IF(X49,AB49/X49,0)</f>
        <v/>
      </c>
      <c r="AH49" s="53">
        <f>IF(U49,V49/U49,0)</f>
        <v/>
      </c>
      <c r="AI49" s="42" t="n"/>
    </row>
    <row r="50">
      <c r="T50" s="37" t="inlineStr">
        <is>
          <t>DWA: 11/27 - 12/03 2022</t>
        </is>
      </c>
      <c r="U50" s="37" t="n">
        <v>5</v>
      </c>
      <c r="V50" s="37" t="n">
        <v>5</v>
      </c>
      <c r="W50" s="37" t="n">
        <v>3</v>
      </c>
      <c r="X50" s="37" t="n">
        <v>0</v>
      </c>
      <c r="Y50" s="37" t="n">
        <v>0</v>
      </c>
      <c r="Z50" s="37" t="n">
        <v>0</v>
      </c>
      <c r="AA50" s="37" t="n">
        <v>0</v>
      </c>
      <c r="AB50" s="37" t="n">
        <v>0</v>
      </c>
      <c r="AC50" s="66">
        <f>W50-Y50</f>
        <v/>
      </c>
      <c r="AD50" s="115">
        <f>IF(W50,Y50/W50,0)</f>
        <v/>
      </c>
      <c r="AE50" s="115" t="n">
        <v>0</v>
      </c>
      <c r="AF50" s="115">
        <f>IF(W50,AA50/W50,0)</f>
        <v/>
      </c>
      <c r="AG50" s="37">
        <f>IF(X50,AB50/X50,0)</f>
        <v/>
      </c>
      <c r="AH50" s="53">
        <f>IF(U50,V50/U50,0)</f>
        <v/>
      </c>
      <c r="AI50" s="42" t="n"/>
    </row>
    <row r="51">
      <c r="T51" s="37" t="inlineStr">
        <is>
          <t>DWA: 12/04 - 12/10 2022</t>
        </is>
      </c>
      <c r="U51" s="37" t="n">
        <v>5</v>
      </c>
      <c r="V51" s="37" t="n">
        <v>5</v>
      </c>
      <c r="W51" s="37" t="n">
        <v>3</v>
      </c>
      <c r="X51" s="37" t="n">
        <v>2</v>
      </c>
      <c r="Y51" s="37" t="n">
        <v>0</v>
      </c>
      <c r="Z51" s="37" t="n">
        <v>0</v>
      </c>
      <c r="AA51" s="37" t="n">
        <v>0</v>
      </c>
      <c r="AB51" s="37" t="n">
        <v>0</v>
      </c>
      <c r="AC51" s="66">
        <f>W51-Y51</f>
        <v/>
      </c>
      <c r="AD51" s="115">
        <f>IF(W51,Y51/W51,0)</f>
        <v/>
      </c>
      <c r="AE51" s="115" t="n">
        <v>0</v>
      </c>
      <c r="AF51" s="115">
        <f>IF(W51,AA51/W51,0)</f>
        <v/>
      </c>
      <c r="AG51" s="37">
        <f>IF(X51,AB51/X51,0)</f>
        <v/>
      </c>
      <c r="AH51" s="53">
        <f>IF(U51,V51/U51,0)</f>
        <v/>
      </c>
      <c r="AI51" s="42" t="n"/>
    </row>
    <row r="52">
      <c r="T52" s="37" t="inlineStr">
        <is>
          <t>DWA: 12/11 - 12/17 2022</t>
        </is>
      </c>
      <c r="U52" s="37" t="n">
        <v>6</v>
      </c>
      <c r="V52" s="37" t="n">
        <v>6</v>
      </c>
      <c r="W52" s="37" t="n">
        <v>1</v>
      </c>
      <c r="X52" s="37" t="n">
        <v>5</v>
      </c>
      <c r="Y52" s="37" t="n">
        <v>0</v>
      </c>
      <c r="Z52" s="37" t="n">
        <v>0</v>
      </c>
      <c r="AA52" s="37" t="n">
        <v>0</v>
      </c>
      <c r="AB52" s="37" t="n">
        <v>0</v>
      </c>
      <c r="AC52" s="66">
        <f>W52-Y52</f>
        <v/>
      </c>
      <c r="AD52" s="115">
        <f>IF(W52,Y52/W52,0)</f>
        <v/>
      </c>
      <c r="AE52" s="115" t="n">
        <v>0</v>
      </c>
      <c r="AF52" s="115">
        <f>IF(W52,AA52/W52,0)</f>
        <v/>
      </c>
      <c r="AG52" s="37">
        <f>IF(X52,AB52/X52,0)</f>
        <v/>
      </c>
      <c r="AH52" s="53">
        <f>IF(U52,V52/U52,0)</f>
        <v/>
      </c>
      <c r="AI52" s="42" t="n"/>
    </row>
    <row r="53">
      <c r="T53" s="37" t="inlineStr">
        <is>
          <t xml:space="preserve">DWA: 12/18 - 12/24 2022 </t>
        </is>
      </c>
      <c r="U53" s="37" t="n">
        <v>4</v>
      </c>
      <c r="V53" s="37" t="n">
        <v>4</v>
      </c>
      <c r="W53" s="37" t="n">
        <v>0</v>
      </c>
      <c r="X53" s="37" t="n">
        <v>4</v>
      </c>
      <c r="Y53" s="37" t="n">
        <v>0</v>
      </c>
      <c r="Z53" s="37" t="n">
        <v>0</v>
      </c>
      <c r="AA53" s="37" t="n">
        <v>0</v>
      </c>
      <c r="AB53" s="37" t="n">
        <v>0</v>
      </c>
      <c r="AC53" s="66">
        <f>W53-Y53</f>
        <v/>
      </c>
      <c r="AD53" s="115">
        <f>IF(W53,Y53/W53,0)</f>
        <v/>
      </c>
      <c r="AE53" s="115" t="n">
        <v>0</v>
      </c>
      <c r="AF53" s="115">
        <f>IF(W53,AA53/W53,0)</f>
        <v/>
      </c>
      <c r="AG53" s="37">
        <f>IF(X53,AB53/X53,0)</f>
        <v/>
      </c>
      <c r="AH53" s="53">
        <f>IF(U53,V53/U53,0)</f>
        <v/>
      </c>
      <c r="AI53" s="42" t="n"/>
    </row>
    <row r="54">
      <c r="T54" s="37" t="inlineStr">
        <is>
          <t xml:space="preserve">DWA: 12/25 - 12/31 2022 </t>
        </is>
      </c>
      <c r="U54" s="37" t="n">
        <v>0</v>
      </c>
      <c r="V54" s="37" t="n">
        <v>0</v>
      </c>
      <c r="W54" s="37" t="n">
        <v>0</v>
      </c>
      <c r="X54" s="37" t="n">
        <v>0</v>
      </c>
      <c r="Y54" s="37" t="n">
        <v>0</v>
      </c>
      <c r="Z54" s="37" t="n">
        <v>0</v>
      </c>
      <c r="AA54" s="37" t="n">
        <v>0</v>
      </c>
      <c r="AB54" s="37" t="n">
        <v>0</v>
      </c>
      <c r="AC54" s="66">
        <f>W54-Y54</f>
        <v/>
      </c>
      <c r="AD54" s="115">
        <f>IF(W54,Y54/W54,0)</f>
        <v/>
      </c>
      <c r="AE54" s="115" t="n">
        <v>0</v>
      </c>
      <c r="AF54" s="115">
        <f>IF(W54,AA54/W54,0)</f>
        <v/>
      </c>
      <c r="AG54" s="37">
        <f>IF(X54,AB54/X54,0)</f>
        <v/>
      </c>
      <c r="AH54" s="53">
        <f>IF(U54,V54/U54,0)</f>
        <v/>
      </c>
      <c r="AI54" s="42" t="n"/>
      <c r="AK54" s="14" t="inlineStr">
        <is>
          <t>Sprint</t>
        </is>
      </c>
      <c r="AL54" s="15" t="inlineStr">
        <is>
          <t>V2</t>
        </is>
      </c>
      <c r="AM54" s="16" t="inlineStr">
        <is>
          <t>LT</t>
        </is>
      </c>
      <c r="AO54" s="14" t="inlineStr">
        <is>
          <t>Sprint</t>
        </is>
      </c>
      <c r="AP54" s="15" t="inlineStr">
        <is>
          <t>V2</t>
        </is>
      </c>
      <c r="AQ54" s="16" t="inlineStr">
        <is>
          <t>LT</t>
        </is>
      </c>
    </row>
    <row r="55">
      <c r="T55" s="37" t="n"/>
      <c r="U55" s="37" t="n"/>
      <c r="V55" s="37" t="n"/>
      <c r="W55" s="37" t="n"/>
      <c r="X55" s="37" t="n"/>
      <c r="Y55" s="37" t="n"/>
      <c r="Z55" s="37" t="n"/>
      <c r="AA55" s="37" t="n"/>
      <c r="AB55" s="37" t="n"/>
      <c r="AC55" s="37" t="n"/>
      <c r="AD55" s="115" t="n"/>
      <c r="AE55" s="115" t="n"/>
      <c r="AF55" s="115" t="n"/>
      <c r="AG55" s="115" t="n"/>
      <c r="AH55" s="76" t="n"/>
      <c r="AI55" s="42" t="n"/>
      <c r="AK55" s="17">
        <f>AK38</f>
        <v/>
      </c>
      <c r="AL55" s="23">
        <f>AL38</f>
        <v/>
      </c>
      <c r="AM55" s="24">
        <f>AM38</f>
        <v/>
      </c>
      <c r="AO55" s="17">
        <f>AO38</f>
        <v/>
      </c>
      <c r="AP55" s="23">
        <f>AP38</f>
        <v/>
      </c>
      <c r="AQ55" s="24">
        <f>AQ38</f>
        <v/>
      </c>
    </row>
    <row r="56">
      <c r="T56" s="37" t="n"/>
      <c r="U56" s="37" t="n"/>
      <c r="V56" s="37" t="n"/>
      <c r="W56" s="37" t="n"/>
      <c r="X56" s="37" t="n"/>
      <c r="Y56" s="37" t="n"/>
      <c r="Z56" s="37" t="n"/>
      <c r="AA56" s="37" t="n"/>
      <c r="AB56" s="37" t="n"/>
      <c r="AC56" s="37" t="n"/>
      <c r="AD56" s="115" t="n"/>
      <c r="AE56" s="115" t="n"/>
      <c r="AF56" s="115" t="n"/>
      <c r="AG56" s="115" t="n"/>
      <c r="AH56" s="76" t="n"/>
      <c r="AI56" s="42" t="n"/>
      <c r="AK56" s="17">
        <f>AK39</f>
        <v/>
      </c>
      <c r="AL56" s="23">
        <f>AL39</f>
        <v/>
      </c>
      <c r="AM56" s="24">
        <f>AM39</f>
        <v/>
      </c>
      <c r="AO56" s="17">
        <f>AO39</f>
        <v/>
      </c>
      <c r="AP56" s="23">
        <f>AP39</f>
        <v/>
      </c>
      <c r="AQ56" s="24">
        <f>AQ39</f>
        <v/>
      </c>
    </row>
    <row r="57">
      <c r="T57" s="37" t="n"/>
      <c r="U57" s="37" t="n"/>
      <c r="V57" s="37" t="n"/>
      <c r="W57" s="37" t="n"/>
      <c r="X57" s="37" t="n"/>
      <c r="Y57" s="37" t="n"/>
      <c r="Z57" s="37" t="n"/>
      <c r="AA57" s="37" t="n"/>
      <c r="AB57" s="37" t="n"/>
      <c r="AC57" s="37" t="n"/>
      <c r="AD57" s="115" t="n"/>
      <c r="AE57" s="115" t="n"/>
      <c r="AF57" s="115" t="n"/>
      <c r="AG57" s="115" t="n"/>
      <c r="AH57" s="76" t="n"/>
      <c r="AI57" s="42" t="n"/>
      <c r="AK57" s="17">
        <f>AK40</f>
        <v/>
      </c>
      <c r="AL57" s="23">
        <f>AL40</f>
        <v/>
      </c>
      <c r="AM57" s="24">
        <f>AM40</f>
        <v/>
      </c>
      <c r="AO57" s="17">
        <f>AO40</f>
        <v/>
      </c>
      <c r="AP57" s="23">
        <f>AP40</f>
        <v/>
      </c>
      <c r="AQ57" s="24">
        <f>AQ40</f>
        <v/>
      </c>
    </row>
    <row r="58">
      <c r="T58" s="37" t="n"/>
      <c r="U58" s="37" t="n"/>
      <c r="V58" s="37" t="n"/>
      <c r="W58" s="37" t="n"/>
      <c r="X58" s="37" t="n"/>
      <c r="Y58" s="37" t="n"/>
      <c r="Z58" s="37" t="n"/>
      <c r="AA58" s="37" t="n"/>
      <c r="AB58" s="37" t="n"/>
      <c r="AC58" s="37" t="n"/>
      <c r="AD58" s="115" t="n"/>
      <c r="AE58" s="115" t="n"/>
      <c r="AF58" s="115" t="n"/>
      <c r="AG58" s="115" t="n"/>
      <c r="AH58" s="76" t="n"/>
      <c r="AI58" s="42" t="n"/>
      <c r="AK58" s="17">
        <f>AK41</f>
        <v/>
      </c>
      <c r="AL58" s="23">
        <f>AL41</f>
        <v/>
      </c>
      <c r="AM58" s="24">
        <f>AM41</f>
        <v/>
      </c>
      <c r="AO58" s="17">
        <f>AO41</f>
        <v/>
      </c>
      <c r="AP58" s="23">
        <f>AP41</f>
        <v/>
      </c>
      <c r="AQ58" s="24">
        <f>AQ41</f>
        <v/>
      </c>
    </row>
    <row r="59">
      <c r="T59" s="37" t="n"/>
      <c r="U59" s="37" t="n"/>
      <c r="V59" s="37" t="n"/>
      <c r="W59" s="37" t="n"/>
      <c r="X59" s="37" t="n"/>
      <c r="Y59" s="37" t="n"/>
      <c r="Z59" s="37" t="n"/>
      <c r="AA59" s="37" t="n"/>
      <c r="AB59" s="37" t="n"/>
      <c r="AC59" s="37" t="n"/>
      <c r="AD59" s="115" t="n"/>
      <c r="AE59" s="115" t="n"/>
      <c r="AF59" s="115" t="n"/>
      <c r="AG59" s="115" t="n"/>
      <c r="AH59" s="76" t="n"/>
      <c r="AI59" s="42" t="n"/>
      <c r="AK59" s="17">
        <f>AK42</f>
        <v/>
      </c>
      <c r="AL59" s="23">
        <f>AL42</f>
        <v/>
      </c>
      <c r="AM59" s="24">
        <f>AM42</f>
        <v/>
      </c>
      <c r="AO59" s="17">
        <f>AO42</f>
        <v/>
      </c>
      <c r="AP59" s="23">
        <f>AP42</f>
        <v/>
      </c>
      <c r="AQ59" s="24">
        <f>AQ42</f>
        <v/>
      </c>
    </row>
    <row r="60">
      <c r="T60" s="37" t="n"/>
      <c r="U60" s="37" t="n"/>
      <c r="V60" s="37" t="n"/>
      <c r="W60" s="37" t="n"/>
      <c r="X60" s="37" t="n"/>
      <c r="Y60" s="37" t="n"/>
      <c r="Z60" s="37" t="n"/>
      <c r="AA60" s="37" t="n"/>
      <c r="AB60" s="37" t="n"/>
      <c r="AC60" s="37" t="n"/>
      <c r="AD60" s="115" t="n"/>
      <c r="AE60" s="115" t="n"/>
      <c r="AF60" s="115" t="n"/>
      <c r="AG60" s="115" t="n"/>
      <c r="AH60" s="76" t="n"/>
      <c r="AI60" s="42" t="n"/>
      <c r="AK60" s="17">
        <f>AK43</f>
        <v/>
      </c>
      <c r="AL60" s="23">
        <f>AL43</f>
        <v/>
      </c>
      <c r="AM60" s="24">
        <f>AM43</f>
        <v/>
      </c>
      <c r="AO60" s="17">
        <f>AO43</f>
        <v/>
      </c>
      <c r="AP60" s="23">
        <f>AP43</f>
        <v/>
      </c>
      <c r="AQ60" s="24">
        <f>AQ43</f>
        <v/>
      </c>
    </row>
    <row r="61">
      <c r="T61" s="66" t="n"/>
      <c r="U61" s="66" t="n"/>
      <c r="V61" s="66" t="n"/>
      <c r="W61" s="66" t="n"/>
      <c r="X61" s="66" t="n"/>
      <c r="Y61" s="66" t="n"/>
      <c r="Z61" s="66" t="n"/>
      <c r="AA61" s="66" t="n"/>
      <c r="AB61" s="66" t="n"/>
      <c r="AC61" s="66" t="n"/>
      <c r="AD61" s="115" t="n"/>
      <c r="AE61" s="115" t="n"/>
      <c r="AF61" s="115" t="n"/>
      <c r="AG61" s="115" t="n"/>
      <c r="AH61" s="76" t="n"/>
      <c r="AI61" s="132" t="n"/>
      <c r="AK61" s="17">
        <f>AK44</f>
        <v/>
      </c>
      <c r="AL61" s="23">
        <f>AL44</f>
        <v/>
      </c>
      <c r="AM61" s="24">
        <f>AM44</f>
        <v/>
      </c>
      <c r="AO61" s="17">
        <f>AO44</f>
        <v/>
      </c>
      <c r="AP61" s="23">
        <f>AP44</f>
        <v/>
      </c>
      <c r="AQ61" s="24">
        <f>AQ44</f>
        <v/>
      </c>
    </row>
    <row r="62">
      <c r="T62" s="37" t="n"/>
      <c r="U62" s="37" t="n"/>
      <c r="V62" s="37" t="n"/>
      <c r="W62" s="37" t="n"/>
      <c r="X62" s="37" t="n"/>
      <c r="Y62" s="37" t="n"/>
      <c r="Z62" s="37" t="n"/>
      <c r="AA62" s="37" t="n"/>
      <c r="AB62" s="37" t="n"/>
      <c r="AC62" s="37" t="n"/>
      <c r="AD62" s="38" t="n"/>
      <c r="AE62" s="38" t="n"/>
      <c r="AF62" s="38" t="n"/>
      <c r="AG62" s="38" t="n"/>
      <c r="AH62" s="131" t="n"/>
      <c r="AI62" s="42" t="n"/>
      <c r="AK62" s="17">
        <f>AK45</f>
        <v/>
      </c>
      <c r="AL62" s="23">
        <f>AL45</f>
        <v/>
      </c>
      <c r="AM62" s="24">
        <f>AM45</f>
        <v/>
      </c>
      <c r="AO62" s="17">
        <f>AO45</f>
        <v/>
      </c>
      <c r="AP62" s="23">
        <f>AP45</f>
        <v/>
      </c>
      <c r="AQ62" s="24">
        <f>AQ45</f>
        <v/>
      </c>
    </row>
    <row r="63">
      <c r="T63" s="37" t="n"/>
      <c r="U63" s="37" t="n"/>
      <c r="V63" s="37" t="n"/>
      <c r="W63" s="37" t="n"/>
      <c r="X63" s="37" t="n"/>
      <c r="Y63" s="37" t="n"/>
      <c r="Z63" s="37" t="n"/>
      <c r="AA63" s="37" t="n"/>
      <c r="AB63" s="37" t="n"/>
      <c r="AC63" s="37" t="n"/>
      <c r="AD63" s="38" t="n"/>
      <c r="AE63" s="38" t="n"/>
      <c r="AF63" s="38" t="n"/>
      <c r="AG63" s="38" t="n"/>
      <c r="AH63" s="131" t="n"/>
      <c r="AI63" s="42" t="n"/>
      <c r="AK63" s="17">
        <f>AK46</f>
        <v/>
      </c>
      <c r="AL63" s="23">
        <f>AL46</f>
        <v/>
      </c>
      <c r="AM63" s="24">
        <f>AM46</f>
        <v/>
      </c>
      <c r="AO63" s="17">
        <f>AO46</f>
        <v/>
      </c>
      <c r="AP63" s="23">
        <f>AP46</f>
        <v/>
      </c>
      <c r="AQ63" s="24">
        <f>AQ46</f>
        <v/>
      </c>
    </row>
    <row r="64">
      <c r="T64" s="37" t="n"/>
      <c r="U64" s="37" t="n"/>
      <c r="V64" s="37" t="n"/>
      <c r="W64" s="37" t="n"/>
      <c r="X64" s="37" t="n"/>
      <c r="Y64" s="37" t="n"/>
      <c r="Z64" s="37" t="n"/>
      <c r="AA64" s="37" t="n"/>
      <c r="AB64" s="37" t="n"/>
      <c r="AC64" s="37" t="n"/>
      <c r="AD64" s="38" t="n"/>
      <c r="AE64" s="38" t="n"/>
      <c r="AF64" s="38" t="n"/>
      <c r="AG64" s="38" t="n"/>
      <c r="AH64" s="131" t="n"/>
      <c r="AI64" s="42" t="n"/>
      <c r="AK64" s="17">
        <f>AK47</f>
        <v/>
      </c>
      <c r="AL64" s="23">
        <f>AL47</f>
        <v/>
      </c>
      <c r="AM64" s="24">
        <f>AM47</f>
        <v/>
      </c>
      <c r="AO64" s="17">
        <f>AO47</f>
        <v/>
      </c>
      <c r="AP64" s="23">
        <f>AP47</f>
        <v/>
      </c>
      <c r="AQ64" s="24">
        <f>AQ47</f>
        <v/>
      </c>
    </row>
    <row r="65">
      <c r="T65" s="66" t="n"/>
      <c r="U65" s="66" t="n"/>
      <c r="V65" s="66" t="n"/>
      <c r="W65" s="66" t="n"/>
      <c r="X65" s="66" t="n"/>
      <c r="Y65" s="66" t="n"/>
      <c r="Z65" s="66" t="n"/>
      <c r="AA65" s="66" t="n"/>
      <c r="AB65" s="66" t="n"/>
      <c r="AC65" s="66" t="n"/>
      <c r="AD65" s="115" t="n"/>
      <c r="AE65" s="115" t="n"/>
      <c r="AF65" s="115" t="n"/>
      <c r="AG65" s="115" t="n"/>
      <c r="AH65" s="131" t="n"/>
      <c r="AI65" s="42" t="n"/>
      <c r="AK65" s="17">
        <f>AK48</f>
        <v/>
      </c>
      <c r="AL65" s="23">
        <f>AL48</f>
        <v/>
      </c>
      <c r="AM65" s="24">
        <f>AM48</f>
        <v/>
      </c>
      <c r="AO65" s="17">
        <f>AO48</f>
        <v/>
      </c>
      <c r="AP65" s="23">
        <f>AP48</f>
        <v/>
      </c>
      <c r="AQ65" s="24">
        <f>AQ48</f>
        <v/>
      </c>
    </row>
    <row r="66">
      <c r="T66" s="37" t="n"/>
      <c r="U66" s="37" t="n"/>
      <c r="V66" s="37" t="n"/>
      <c r="W66" s="37" t="n"/>
      <c r="X66" s="37" t="n"/>
      <c r="Y66" s="37" t="n"/>
      <c r="Z66" s="37" t="n"/>
      <c r="AA66" s="37" t="n"/>
      <c r="AB66" s="37" t="n"/>
      <c r="AC66" s="66" t="n"/>
      <c r="AD66" s="115" t="n"/>
      <c r="AE66" s="115" t="n"/>
      <c r="AF66" s="115" t="n"/>
      <c r="AG66" s="115" t="n"/>
      <c r="AH66" s="76" t="n"/>
      <c r="AI66" s="133" t="n"/>
      <c r="AK66" s="17">
        <f>AK49</f>
        <v/>
      </c>
      <c r="AL66" s="23">
        <f>AL49</f>
        <v/>
      </c>
      <c r="AM66" s="24">
        <f>AM49</f>
        <v/>
      </c>
      <c r="AO66" s="17">
        <f>AO49</f>
        <v/>
      </c>
      <c r="AP66" s="23">
        <f>AP49</f>
        <v/>
      </c>
      <c r="AQ66" s="24">
        <f>AQ49</f>
        <v/>
      </c>
    </row>
    <row r="67">
      <c r="T67" s="37" t="n"/>
      <c r="U67" s="37" t="n"/>
      <c r="V67" s="37" t="n"/>
      <c r="W67" s="37" t="n"/>
      <c r="X67" s="37" t="n"/>
      <c r="Y67" s="37" t="n"/>
      <c r="Z67" s="37" t="n"/>
      <c r="AA67" s="37" t="n"/>
      <c r="AB67" s="37" t="n"/>
      <c r="AC67" s="66" t="n"/>
      <c r="AD67" s="115" t="n"/>
      <c r="AE67" s="115" t="n"/>
      <c r="AF67" s="115" t="n"/>
      <c r="AG67" s="37" t="n"/>
      <c r="AH67" s="76" t="n"/>
      <c r="AI67" s="42" t="n"/>
      <c r="AK67" s="17">
        <f>AK50</f>
        <v/>
      </c>
      <c r="AL67" s="23">
        <f>AL50</f>
        <v/>
      </c>
      <c r="AM67" s="24">
        <f>AM50</f>
        <v/>
      </c>
      <c r="AO67" s="17">
        <f>AO50</f>
        <v/>
      </c>
      <c r="AP67" s="23">
        <f>AP50</f>
        <v/>
      </c>
      <c r="AQ67" s="24">
        <f>AQ50</f>
        <v/>
      </c>
    </row>
    <row r="68">
      <c r="T68" s="37" t="n"/>
      <c r="U68" s="37" t="n"/>
      <c r="V68" s="37" t="n"/>
      <c r="W68" s="37" t="n"/>
      <c r="X68" s="37" t="n"/>
      <c r="Y68" s="37" t="n"/>
      <c r="Z68" s="37" t="n"/>
      <c r="AA68" s="37" t="n"/>
      <c r="AB68" s="37" t="n"/>
      <c r="AC68" s="66" t="n"/>
      <c r="AD68" s="115" t="n"/>
      <c r="AE68" s="115" t="n"/>
      <c r="AF68" s="115" t="n"/>
      <c r="AG68" s="37" t="n"/>
      <c r="AH68" s="76" t="n"/>
      <c r="AI68" s="42" t="n"/>
      <c r="AK68" s="18">
        <f>AK51</f>
        <v/>
      </c>
      <c r="AL68" s="25">
        <f>AL51</f>
        <v/>
      </c>
      <c r="AM68" s="26">
        <f>AM51</f>
        <v/>
      </c>
      <c r="AO68" s="18">
        <f>AO51</f>
        <v/>
      </c>
      <c r="AP68" s="25">
        <f>AP51</f>
        <v/>
      </c>
      <c r="AQ68" s="26">
        <f>AQ51</f>
        <v/>
      </c>
    </row>
    <row r="69">
      <c r="T69" s="37" t="n"/>
      <c r="U69" s="37" t="n"/>
      <c r="V69" s="37" t="n"/>
      <c r="W69" s="37" t="n"/>
      <c r="X69" s="37" t="n"/>
      <c r="Y69" s="37" t="n"/>
      <c r="Z69" s="37" t="n"/>
      <c r="AA69" s="37" t="n"/>
      <c r="AB69" s="37" t="n"/>
      <c r="AC69" s="66" t="n"/>
      <c r="AD69" s="115" t="n"/>
      <c r="AE69" s="115" t="n"/>
      <c r="AF69" s="115" t="n"/>
      <c r="AG69" s="37" t="n"/>
      <c r="AH69" s="76" t="n"/>
      <c r="AI69" s="42" t="n"/>
    </row>
    <row r="70">
      <c r="T70" s="37" t="n"/>
      <c r="U70" s="37" t="n"/>
      <c r="V70" s="37" t="n"/>
      <c r="W70" s="37" t="n"/>
      <c r="X70" s="37" t="n"/>
      <c r="Y70" s="37" t="n"/>
      <c r="Z70" s="37" t="n"/>
      <c r="AA70" s="37" t="n"/>
      <c r="AB70" s="37" t="n"/>
      <c r="AC70" s="66" t="n"/>
      <c r="AD70" s="115" t="n"/>
      <c r="AE70" s="115" t="n"/>
      <c r="AF70" s="115" t="n"/>
      <c r="AG70" s="37" t="n"/>
      <c r="AH70" s="76" t="n"/>
      <c r="AI70" s="42" t="n"/>
      <c r="AK70" s="4" t="inlineStr">
        <is>
          <t>Row Labels</t>
        </is>
      </c>
      <c r="AL70" t="inlineStr">
        <is>
          <t>Sum of Planned Vs Completed ratio</t>
        </is>
      </c>
    </row>
    <row r="71">
      <c r="T71" s="37" t="n"/>
      <c r="U71" s="37" t="n"/>
      <c r="V71" s="37" t="n"/>
      <c r="W71" s="37" t="n"/>
      <c r="X71" s="37" t="n"/>
      <c r="Y71" s="37" t="n"/>
      <c r="Z71" s="37" t="n"/>
      <c r="AA71" s="37" t="n"/>
      <c r="AB71" s="37" t="n"/>
      <c r="AC71" s="66" t="n"/>
      <c r="AD71" s="115" t="n"/>
      <c r="AE71" s="115" t="n"/>
      <c r="AF71" s="115" t="n"/>
      <c r="AG71" s="37" t="n"/>
      <c r="AH71" s="76" t="n"/>
      <c r="AI71" s="42" t="n"/>
      <c r="AK71" s="2" t="inlineStr">
        <is>
          <t>Grand Total</t>
        </is>
      </c>
    </row>
    <row r="72">
      <c r="T72" s="37" t="n"/>
      <c r="U72" s="37" t="n"/>
      <c r="V72" s="37" t="n"/>
      <c r="W72" s="37" t="n"/>
      <c r="X72" s="37" t="n"/>
      <c r="Y72" s="37" t="n"/>
      <c r="Z72" s="37" t="n"/>
      <c r="AA72" s="37" t="n"/>
      <c r="AB72" s="37" t="n"/>
      <c r="AC72" s="66" t="n"/>
      <c r="AD72" s="115" t="n"/>
      <c r="AE72" s="115" t="n"/>
      <c r="AF72" s="115" t="n"/>
      <c r="AG72" s="37" t="n"/>
      <c r="AH72" s="76" t="n"/>
      <c r="AI72" s="42" t="n"/>
    </row>
    <row r="73">
      <c r="T73" s="66" t="n"/>
      <c r="U73" s="66" t="n"/>
      <c r="V73" s="66" t="n"/>
      <c r="W73" s="66" t="n"/>
      <c r="X73" s="66" t="n"/>
      <c r="Y73" s="66" t="n"/>
      <c r="Z73" s="66" t="n"/>
      <c r="AA73" s="66" t="n"/>
      <c r="AB73" s="66" t="n"/>
      <c r="AC73" s="66" t="n"/>
      <c r="AD73" s="115" t="n"/>
      <c r="AE73" s="115" t="n"/>
      <c r="AF73" s="115" t="n"/>
      <c r="AG73" s="37" t="n"/>
      <c r="AH73" s="76" t="n"/>
      <c r="AI73" s="132" t="n"/>
    </row>
    <row r="74">
      <c r="T74" s="66" t="n"/>
      <c r="U74" s="37" t="n"/>
      <c r="V74" s="37" t="n"/>
      <c r="W74" s="37" t="n"/>
      <c r="X74" s="37" t="n"/>
      <c r="Y74" s="37" t="n"/>
      <c r="Z74" s="37" t="n"/>
      <c r="AA74" s="37" t="n"/>
      <c r="AB74" s="37" t="n"/>
      <c r="AC74" s="66" t="n"/>
      <c r="AD74" s="115" t="n"/>
      <c r="AE74" s="115" t="n"/>
      <c r="AF74" s="115" t="n"/>
      <c r="AG74" s="37" t="n"/>
      <c r="AH74" s="76" t="n"/>
      <c r="AI74" s="42" t="n"/>
    </row>
    <row r="75">
      <c r="T75" s="66" t="n"/>
      <c r="U75" s="37" t="n"/>
      <c r="V75" s="37" t="n"/>
      <c r="W75" s="37" t="n"/>
      <c r="X75" s="37" t="n"/>
      <c r="Y75" s="37" t="n"/>
      <c r="Z75" s="37" t="n"/>
      <c r="AA75" s="37" t="n"/>
      <c r="AB75" s="37" t="n"/>
      <c r="AC75" s="66" t="n"/>
      <c r="AD75" s="115" t="n"/>
      <c r="AE75" s="115" t="n"/>
      <c r="AF75" s="115" t="n"/>
      <c r="AG75" s="37" t="n"/>
      <c r="AH75" s="76" t="n"/>
      <c r="AI75" s="42" t="n"/>
    </row>
    <row r="76">
      <c r="T76" s="66" t="n"/>
      <c r="U76" s="37" t="n"/>
      <c r="V76" s="37" t="n"/>
      <c r="W76" s="37" t="n"/>
      <c r="X76" s="37" t="n"/>
      <c r="Y76" s="37" t="n"/>
      <c r="Z76" s="37" t="n"/>
      <c r="AA76" s="37" t="n"/>
      <c r="AB76" s="37" t="n"/>
      <c r="AC76" s="66" t="n"/>
      <c r="AD76" s="115" t="n"/>
      <c r="AE76" s="115" t="n"/>
      <c r="AF76" s="115" t="n"/>
      <c r="AG76" s="37" t="n"/>
      <c r="AH76" s="76" t="n"/>
      <c r="AI76" s="42" t="n"/>
    </row>
    <row r="77">
      <c r="T77" s="66" t="n"/>
      <c r="U77" s="37" t="n"/>
      <c r="V77" s="37" t="n"/>
      <c r="W77" s="37" t="n"/>
      <c r="X77" s="37" t="n"/>
      <c r="Y77" s="37" t="n"/>
      <c r="Z77" s="37" t="n"/>
      <c r="AA77" s="37" t="n"/>
      <c r="AB77" s="37" t="n"/>
      <c r="AC77" s="66" t="n"/>
      <c r="AD77" s="115" t="n"/>
      <c r="AE77" s="115" t="n"/>
      <c r="AF77" s="115" t="n"/>
      <c r="AG77" s="37" t="n"/>
      <c r="AH77" s="76" t="n"/>
      <c r="AI77" s="42" t="n"/>
    </row>
    <row r="78">
      <c r="T78" s="66" t="n"/>
      <c r="U78" s="37" t="n"/>
      <c r="V78" s="37" t="n"/>
      <c r="W78" s="37" t="n"/>
      <c r="X78" s="37" t="n"/>
      <c r="Y78" s="37" t="n"/>
      <c r="Z78" s="37" t="n"/>
      <c r="AA78" s="37" t="n"/>
      <c r="AB78" s="37" t="n"/>
      <c r="AC78" s="66" t="n"/>
      <c r="AD78" s="115" t="n"/>
      <c r="AE78" s="115" t="n"/>
      <c r="AF78" s="115" t="n"/>
      <c r="AG78" s="37" t="n"/>
      <c r="AH78" s="76" t="n"/>
      <c r="AI78" s="42" t="n"/>
    </row>
    <row r="79">
      <c r="T79" s="66" t="n"/>
      <c r="U79" s="37" t="n"/>
      <c r="V79" s="37" t="n"/>
      <c r="W79" s="37" t="n"/>
      <c r="X79" s="37" t="n"/>
      <c r="Y79" s="37" t="n"/>
      <c r="Z79" s="37" t="n"/>
      <c r="AA79" s="37" t="n"/>
      <c r="AB79" s="37" t="n"/>
      <c r="AC79" s="66" t="n"/>
      <c r="AD79" s="115" t="n"/>
      <c r="AE79" s="115" t="n"/>
      <c r="AF79" s="115" t="n"/>
      <c r="AG79" s="37" t="n"/>
      <c r="AH79" s="76" t="n"/>
      <c r="AI79" s="42" t="n"/>
    </row>
    <row r="80">
      <c r="T80" s="66" t="n"/>
      <c r="U80" s="37" t="n"/>
      <c r="V80" s="37" t="n"/>
      <c r="W80" s="37" t="n"/>
      <c r="X80" s="37" t="n"/>
      <c r="Y80" s="37" t="n"/>
      <c r="Z80" s="37" t="n"/>
      <c r="AA80" s="37" t="n"/>
      <c r="AB80" s="37" t="n"/>
      <c r="AC80" s="66" t="n"/>
      <c r="AD80" s="115" t="n"/>
      <c r="AE80" s="115" t="n"/>
      <c r="AF80" s="115" t="n"/>
      <c r="AG80" s="37" t="n"/>
      <c r="AH80" s="76" t="n"/>
      <c r="AI80" s="42" t="n"/>
    </row>
    <row r="81">
      <c r="T81" s="66" t="n"/>
      <c r="U81" s="37" t="n"/>
      <c r="V81" s="37" t="n"/>
      <c r="W81" s="37" t="n"/>
      <c r="X81" s="37" t="n"/>
      <c r="Y81" s="37" t="n"/>
      <c r="Z81" s="37" t="n"/>
      <c r="AA81" s="37" t="n"/>
      <c r="AB81" s="37" t="n"/>
      <c r="AC81" s="66" t="n"/>
      <c r="AD81" s="115" t="n"/>
      <c r="AE81" s="115" t="n"/>
      <c r="AF81" s="115" t="n"/>
      <c r="AG81" s="37" t="n"/>
      <c r="AH81" s="76" t="n"/>
      <c r="AI81" s="42" t="n"/>
    </row>
    <row r="82">
      <c r="T82" s="66" t="n"/>
      <c r="U82" s="37" t="n"/>
      <c r="V82" s="37" t="n"/>
      <c r="W82" s="37" t="n"/>
      <c r="X82" s="37" t="n"/>
      <c r="Y82" s="37" t="n"/>
      <c r="Z82" s="37" t="n"/>
      <c r="AA82" s="37" t="n"/>
      <c r="AB82" s="37" t="n"/>
      <c r="AC82" s="66" t="n"/>
      <c r="AD82" s="115" t="n"/>
      <c r="AE82" s="115" t="n"/>
      <c r="AF82" s="115" t="n"/>
      <c r="AG82" s="37" t="n"/>
      <c r="AH82" s="76" t="n"/>
      <c r="AI82" s="42" t="n"/>
    </row>
    <row r="83">
      <c r="T83" s="66" t="n"/>
      <c r="U83" s="37" t="n"/>
      <c r="V83" s="37" t="n"/>
      <c r="W83" s="37" t="n"/>
      <c r="X83" s="37" t="n"/>
      <c r="Y83" s="37" t="n"/>
      <c r="Z83" s="37" t="n"/>
      <c r="AA83" s="37" t="n"/>
      <c r="AB83" s="37" t="n"/>
      <c r="AC83" s="66" t="n"/>
      <c r="AD83" s="115" t="n"/>
      <c r="AE83" s="115" t="n"/>
      <c r="AF83" s="115" t="n"/>
      <c r="AG83" s="37" t="n"/>
      <c r="AH83" s="76" t="n"/>
      <c r="AI83" s="42" t="n"/>
      <c r="AK83">
        <f>AK73</f>
        <v/>
      </c>
      <c r="AL83" s="23">
        <f>GETPIVOTDATA("Planned Vs Completed ratio",$AK$70,"Week Starting On",AK71)</f>
        <v/>
      </c>
    </row>
    <row r="84">
      <c r="T84" s="66" t="n"/>
      <c r="U84" s="37" t="n"/>
      <c r="V84" s="37" t="n"/>
      <c r="W84" s="37" t="n"/>
      <c r="X84" s="37" t="n"/>
      <c r="Y84" s="37" t="n"/>
      <c r="Z84" s="37" t="n"/>
      <c r="AA84" s="37" t="n"/>
      <c r="AB84" s="37" t="n"/>
      <c r="AC84" s="66" t="n"/>
      <c r="AD84" s="115" t="n"/>
      <c r="AE84" s="115" t="n"/>
      <c r="AF84" s="115" t="n"/>
      <c r="AG84" s="37" t="n"/>
      <c r="AH84" s="76" t="n"/>
      <c r="AI84" s="42" t="n"/>
      <c r="AK84">
        <f>AK74</f>
        <v/>
      </c>
      <c r="AL84" s="23">
        <f>GETPIVOTDATA("Planned Vs Completed ratio",$AK$70,"Week Starting On",AK72)</f>
        <v/>
      </c>
    </row>
    <row r="85">
      <c r="T85" s="37" t="n"/>
      <c r="U85" s="37" t="n"/>
      <c r="V85" s="37" t="n"/>
      <c r="W85" s="37" t="n"/>
      <c r="X85" s="37" t="n"/>
      <c r="Y85" s="37" t="n"/>
      <c r="Z85" s="37" t="n"/>
      <c r="AA85" s="37" t="n"/>
      <c r="AB85" s="37" t="n"/>
      <c r="AC85" s="66" t="n"/>
      <c r="AD85" s="115" t="n"/>
      <c r="AE85" s="115" t="n"/>
      <c r="AF85" s="115" t="n"/>
      <c r="AG85" s="37" t="n"/>
      <c r="AH85" s="76" t="n"/>
      <c r="AI85" s="42" t="n"/>
      <c r="AK85">
        <f>AK75</f>
        <v/>
      </c>
      <c r="AL85" s="23">
        <f>GETPIVOTDATA("Planned Vs Completed ratio",$AK$70,"Week Starting On",AK73)</f>
        <v/>
      </c>
    </row>
    <row r="86">
      <c r="T86" s="37" t="n"/>
      <c r="U86" s="37" t="n"/>
      <c r="V86" s="37" t="n"/>
      <c r="W86" s="37" t="n"/>
      <c r="X86" s="37" t="n"/>
      <c r="Y86" s="37" t="n"/>
      <c r="Z86" s="37" t="n"/>
      <c r="AA86" s="37" t="n"/>
      <c r="AB86" s="37" t="n"/>
      <c r="AC86" s="66" t="n"/>
      <c r="AD86" s="115" t="n"/>
      <c r="AE86" s="115" t="n"/>
      <c r="AF86" s="115" t="n"/>
      <c r="AG86" s="37" t="n"/>
      <c r="AH86" s="76" t="n"/>
      <c r="AI86" s="42" t="n"/>
      <c r="AK86">
        <f>AK76</f>
        <v/>
      </c>
      <c r="AL86" s="23">
        <f>GETPIVOTDATA("Planned Vs Completed ratio",$AK$70,"Week Starting On",AK74)</f>
        <v/>
      </c>
    </row>
    <row r="87">
      <c r="T87" s="37" t="n"/>
      <c r="U87" s="37" t="n"/>
      <c r="V87" s="37" t="n"/>
      <c r="W87" s="37" t="n"/>
      <c r="X87" s="37" t="n"/>
      <c r="Y87" s="37" t="n"/>
      <c r="Z87" s="37" t="n"/>
      <c r="AA87" s="37" t="n"/>
      <c r="AB87" s="37" t="n"/>
      <c r="AC87" s="66" t="n"/>
      <c r="AD87" s="115" t="n"/>
      <c r="AE87" s="115" t="n"/>
      <c r="AF87" s="115" t="n"/>
      <c r="AG87" s="37" t="n"/>
      <c r="AH87" s="76" t="n"/>
      <c r="AI87" s="42" t="n"/>
      <c r="AK87">
        <f>AK77</f>
        <v/>
      </c>
      <c r="AL87" s="23">
        <f>GETPIVOTDATA("Planned Vs Completed ratio",$AK$70,"Week Starting On",AK75)</f>
        <v/>
      </c>
    </row>
    <row r="88">
      <c r="T88" s="37" t="n"/>
      <c r="U88" s="37" t="n"/>
      <c r="V88" s="37" t="n"/>
      <c r="W88" s="37" t="n"/>
      <c r="X88" s="37" t="n"/>
      <c r="Y88" s="37" t="n"/>
      <c r="Z88" s="37" t="n"/>
      <c r="AA88" s="37" t="n"/>
      <c r="AB88" s="37" t="n"/>
      <c r="AC88" s="66" t="n"/>
      <c r="AD88" s="115" t="n"/>
      <c r="AE88" s="115" t="n"/>
      <c r="AF88" s="115" t="n"/>
      <c r="AG88" s="37" t="n"/>
      <c r="AH88" s="76" t="n"/>
      <c r="AI88" s="42" t="n"/>
    </row>
    <row r="89">
      <c r="T89" s="37" t="n"/>
      <c r="U89" s="37" t="n"/>
      <c r="V89" s="37" t="n"/>
      <c r="W89" s="37" t="n"/>
      <c r="X89" s="37" t="n"/>
      <c r="Y89" s="37" t="n"/>
      <c r="Z89" s="37" t="n"/>
      <c r="AA89" s="37" t="n"/>
      <c r="AB89" s="37" t="n"/>
      <c r="AC89" s="66" t="n"/>
      <c r="AD89" s="115" t="n"/>
      <c r="AE89" s="115" t="n"/>
      <c r="AF89" s="115" t="n"/>
      <c r="AG89" s="37" t="n"/>
      <c r="AH89" s="76" t="n"/>
      <c r="AI89" s="42" t="n"/>
    </row>
    <row r="90">
      <c r="T90" s="37" t="n"/>
      <c r="U90" s="37" t="n"/>
      <c r="V90" s="37" t="n"/>
      <c r="W90" s="37" t="n"/>
      <c r="X90" s="37" t="n"/>
      <c r="Y90" s="37" t="n"/>
      <c r="Z90" s="37" t="n"/>
      <c r="AA90" s="37" t="n"/>
      <c r="AB90" s="37" t="n"/>
      <c r="AC90" s="66" t="n"/>
      <c r="AD90" s="115" t="n"/>
      <c r="AE90" s="115" t="n"/>
      <c r="AF90" s="115" t="n"/>
      <c r="AG90" s="37" t="n"/>
      <c r="AH90" s="76" t="n"/>
      <c r="AI90" s="42" t="n"/>
    </row>
    <row r="91">
      <c r="T91" s="37" t="n"/>
      <c r="U91" s="37" t="n"/>
      <c r="V91" s="37" t="n"/>
      <c r="W91" s="37" t="n"/>
      <c r="X91" s="37" t="n"/>
      <c r="Y91" s="37" t="n"/>
      <c r="Z91" s="37" t="n"/>
      <c r="AA91" s="37" t="n"/>
      <c r="AB91" s="37" t="n"/>
      <c r="AC91" s="66" t="n"/>
      <c r="AD91" s="115" t="n"/>
      <c r="AE91" s="115" t="n"/>
      <c r="AF91" s="115" t="n"/>
      <c r="AG91" s="37" t="n"/>
      <c r="AH91" s="76" t="n"/>
      <c r="AI91" s="42" t="n"/>
    </row>
    <row r="92">
      <c r="AH92" s="76" t="n"/>
      <c r="AI92" s="42" t="n"/>
    </row>
    <row r="93">
      <c r="AH93" s="76" t="n"/>
      <c r="AI93" s="42" t="n"/>
    </row>
    <row r="94">
      <c r="AH94" s="76" t="n"/>
      <c r="AI94" s="42" t="n"/>
    </row>
    <row r="95">
      <c r="AH95" s="76" t="n"/>
      <c r="AI95" s="42" t="n"/>
    </row>
    <row r="96">
      <c r="AH96" s="76" t="n"/>
      <c r="AI96" s="42" t="n"/>
    </row>
    <row r="97">
      <c r="AH97" s="76" t="n"/>
      <c r="AI97" s="42" t="n"/>
    </row>
    <row r="98">
      <c r="AH98" s="76" t="n"/>
      <c r="AI98" s="42" t="n"/>
    </row>
    <row r="99">
      <c r="AH99" s="76" t="n"/>
      <c r="AI99" s="42" t="n"/>
    </row>
    <row r="100">
      <c r="AH100" s="76" t="n"/>
      <c r="AI100" s="42" t="n"/>
    </row>
    <row r="101">
      <c r="AH101" s="76" t="n"/>
      <c r="AI101" s="42" t="n"/>
    </row>
    <row r="102">
      <c r="AH102" s="76" t="n"/>
      <c r="AI102" s="42" t="n"/>
    </row>
    <row r="103">
      <c r="AH103" s="76" t="n"/>
      <c r="AI103" s="42" t="n"/>
    </row>
    <row r="104">
      <c r="AH104" s="76" t="n"/>
      <c r="AI104" s="42" t="n"/>
    </row>
    <row r="105">
      <c r="AH105" s="76" t="n"/>
      <c r="AI105" s="42" t="n"/>
    </row>
    <row r="106">
      <c r="AH106" s="76" t="n"/>
      <c r="AI106" s="42" t="n"/>
    </row>
    <row r="107">
      <c r="AH107" s="76" t="n"/>
      <c r="AI107" s="42" t="n"/>
    </row>
    <row r="108">
      <c r="AH108" s="76" t="n"/>
      <c r="AI108" s="42" t="n"/>
    </row>
    <row r="109">
      <c r="AH109" s="76" t="n"/>
      <c r="AI109" s="42" t="n"/>
    </row>
    <row r="110">
      <c r="AH110" s="76" t="n"/>
      <c r="AI110" s="42" t="n"/>
    </row>
    <row r="111">
      <c r="AH111" s="76" t="n"/>
      <c r="AI111" s="42" t="n"/>
    </row>
    <row r="112">
      <c r="AH112" s="76" t="n"/>
      <c r="AI112" s="42" t="n"/>
    </row>
    <row r="113">
      <c r="AH113" s="76" t="n"/>
      <c r="AI113" s="42" t="n"/>
    </row>
    <row r="114">
      <c r="AH114" s="76" t="n"/>
      <c r="AI114" s="42" t="n"/>
    </row>
    <row r="115">
      <c r="AH115" s="76" t="n"/>
      <c r="AI115" s="42" t="n"/>
    </row>
    <row r="116">
      <c r="AH116" s="76" t="n"/>
      <c r="AI116" s="42" t="n"/>
    </row>
    <row r="117">
      <c r="AH117" s="76" t="n"/>
      <c r="AI117" s="42" t="n"/>
    </row>
    <row r="118">
      <c r="AH118" s="76" t="n"/>
      <c r="AI118" s="42" t="n"/>
    </row>
    <row r="119">
      <c r="AH119" s="76" t="n"/>
      <c r="AI119" s="42" t="n"/>
    </row>
    <row r="120">
      <c r="AH120" s="76" t="n"/>
      <c r="AI120" s="42" t="n"/>
    </row>
    <row r="121">
      <c r="AH121" s="76" t="n"/>
      <c r="AI121" s="42" t="n"/>
    </row>
    <row r="122">
      <c r="AH122" s="76" t="n"/>
      <c r="AI122" s="42" t="n"/>
    </row>
    <row r="123">
      <c r="AH123" s="76" t="n"/>
      <c r="AI123" s="42" t="n"/>
    </row>
    <row r="124">
      <c r="AH124" s="76" t="n"/>
      <c r="AI124" s="42" t="n"/>
    </row>
    <row r="125">
      <c r="AH125" s="76" t="n"/>
      <c r="AI125" s="42" t="n"/>
    </row>
    <row r="126">
      <c r="AH126" s="76" t="n"/>
      <c r="AI126" s="42" t="n"/>
    </row>
    <row r="127">
      <c r="T127" s="37" t="n"/>
      <c r="U127" s="37" t="n">
        <v>0</v>
      </c>
      <c r="V127" s="37" t="n">
        <v>0</v>
      </c>
      <c r="W127" s="37" t="n">
        <v>0</v>
      </c>
      <c r="X127" s="37" t="n">
        <v>0</v>
      </c>
      <c r="Y127" s="37" t="n">
        <v>0</v>
      </c>
      <c r="Z127" s="37" t="n">
        <v>0</v>
      </c>
      <c r="AA127" s="37" t="n">
        <v>0</v>
      </c>
      <c r="AB127" s="37" t="n">
        <v>0</v>
      </c>
      <c r="AC127" s="66">
        <f>W127-Y127</f>
        <v/>
      </c>
      <c r="AD127" s="115" t="n">
        <v>0</v>
      </c>
      <c r="AE127" s="115" t="n">
        <v>0</v>
      </c>
      <c r="AF127" s="115" t="n">
        <v>0</v>
      </c>
      <c r="AG127" s="37">
        <f>AB127/X127</f>
        <v/>
      </c>
      <c r="AH127" s="76" t="n"/>
      <c r="AI127" s="42" t="n"/>
    </row>
    <row r="128">
      <c r="T128" s="37" t="n"/>
      <c r="U128" s="37" t="n">
        <v>0</v>
      </c>
      <c r="V128" s="37" t="n">
        <v>0</v>
      </c>
      <c r="W128" s="37" t="n">
        <v>0</v>
      </c>
      <c r="X128" s="37" t="n">
        <v>0</v>
      </c>
      <c r="Y128" s="37" t="n">
        <v>0</v>
      </c>
      <c r="Z128" s="37" t="n">
        <v>0</v>
      </c>
      <c r="AA128" s="37" t="n">
        <v>0</v>
      </c>
      <c r="AB128" s="37" t="n">
        <v>0</v>
      </c>
      <c r="AC128" s="66">
        <f>W128-Y128</f>
        <v/>
      </c>
      <c r="AD128" s="115" t="n">
        <v>0</v>
      </c>
      <c r="AE128" s="115" t="n">
        <v>0</v>
      </c>
      <c r="AF128" s="115" t="n">
        <v>0</v>
      </c>
      <c r="AG128" s="37">
        <f>AB128/X128</f>
        <v/>
      </c>
      <c r="AH128" s="76" t="n"/>
      <c r="AI128" s="42"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1"/>
  <sheetViews>
    <sheetView topLeftCell="A29" workbookViewId="0">
      <selection activeCell="N34" sqref="N34"/>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B1:AV58"/>
  <sheetViews>
    <sheetView topLeftCell="U1" zoomScale="70" zoomScaleNormal="70" workbookViewId="0">
      <pane ySplit="1" topLeftCell="A16" activePane="bottomLeft" state="frozen"/>
      <selection pane="bottomLeft" activeCell="L16" sqref="L16"/>
    </sheetView>
  </sheetViews>
  <sheetFormatPr baseColWidth="8" defaultRowHeight="15"/>
  <cols>
    <col width="20.85546875" bestFit="1" customWidth="1" min="3" max="3"/>
    <col width="9.140625" bestFit="1" customWidth="1" min="4" max="19"/>
    <col width="36.85546875" customWidth="1" style="19" min="20" max="20"/>
    <col width="19" customWidth="1" style="19" min="21" max="21"/>
    <col width="21" bestFit="1" customWidth="1" style="19" min="22" max="22"/>
    <col width="9.140625" bestFit="1"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10.28515625" customWidth="1" style="19" min="30" max="32"/>
    <col width="22.85546875" bestFit="1" customWidth="1" min="33" max="33"/>
    <col width="26.28515625" bestFit="1" customWidth="1" style="19" min="34" max="34"/>
    <col width="9.140625" bestFit="1" customWidth="1" min="35" max="36"/>
    <col width="27" bestFit="1" customWidth="1" min="37" max="37"/>
    <col width="28.5703125" bestFit="1" customWidth="1" min="38" max="38"/>
    <col width="28.140625" bestFit="1" customWidth="1" min="39" max="39"/>
    <col width="9.140625" bestFit="1" customWidth="1" min="40" max="40"/>
    <col width="27" bestFit="1" customWidth="1" min="41" max="41"/>
    <col width="30.5703125" bestFit="1" customWidth="1" min="42" max="42"/>
    <col width="30.28515625" bestFit="1" customWidth="1" min="43" max="43"/>
  </cols>
  <sheetData>
    <row r="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n"/>
      <c r="U2" s="46" t="n"/>
      <c r="V2" s="46" t="n"/>
      <c r="W2" s="46" t="n"/>
      <c r="X2" s="46" t="n"/>
      <c r="Y2" s="46" t="n"/>
      <c r="Z2" s="46" t="n"/>
      <c r="AA2" s="46" t="n"/>
      <c r="AB2" s="46" t="n"/>
      <c r="AC2" s="46" t="n"/>
      <c r="AD2" s="47" t="n"/>
      <c r="AE2" s="47" t="n"/>
      <c r="AF2" s="47" t="n"/>
      <c r="AG2" s="47" t="n"/>
      <c r="AH2" s="53" t="n"/>
      <c r="AK2" s="2" t="inlineStr">
        <is>
          <t>Mortgage Purchase Sprint 8</t>
        </is>
      </c>
      <c r="AL2" t="n">
        <v>10</v>
      </c>
      <c r="AM2" t="n">
        <v>39</v>
      </c>
      <c r="AO2" s="2" t="inlineStr">
        <is>
          <t>Mortgage Purchase Sprint 8</t>
        </is>
      </c>
      <c r="AP2" t="n">
        <v>0</v>
      </c>
      <c r="AQ2" t="n">
        <v>10</v>
      </c>
      <c r="AV2" t="inlineStr">
        <is>
          <t>Green</t>
        </is>
      </c>
    </row>
    <row r="3">
      <c r="B3" s="17" t="n"/>
      <c r="Q3" s="10" t="n"/>
      <c r="T3" s="37" t="inlineStr">
        <is>
          <t>Mortgage Purchase Sprint 0</t>
        </is>
      </c>
      <c r="U3" s="46" t="n">
        <v>7</v>
      </c>
      <c r="V3" s="46" t="n">
        <v>7</v>
      </c>
      <c r="W3" s="46" t="n">
        <v>0</v>
      </c>
      <c r="X3" s="46" t="n">
        <v>7</v>
      </c>
      <c r="Y3" s="46" t="n">
        <v>0</v>
      </c>
      <c r="Z3" s="46" t="n">
        <v>0</v>
      </c>
      <c r="AA3" s="46" t="n">
        <v>0</v>
      </c>
      <c r="AB3" s="46" t="n">
        <v>0</v>
      </c>
      <c r="AC3" s="46">
        <f>W3-Y3</f>
        <v/>
      </c>
      <c r="AD3" s="47">
        <f>Y3/W3</f>
        <v/>
      </c>
      <c r="AE3" s="47">
        <f>Z3/X3</f>
        <v/>
      </c>
      <c r="AF3" s="47">
        <f>AA3/W3</f>
        <v/>
      </c>
      <c r="AG3" s="47">
        <f>AB3/X3</f>
        <v/>
      </c>
      <c r="AH3" s="53">
        <f>V3/U3</f>
        <v/>
      </c>
      <c r="AK3" s="2" t="inlineStr">
        <is>
          <t>Mortgage Purchase Sprint 9</t>
        </is>
      </c>
      <c r="AL3" t="n">
        <v>13</v>
      </c>
      <c r="AM3" t="n">
        <v>39</v>
      </c>
      <c r="AO3" s="2" t="inlineStr">
        <is>
          <t>Mortgage Purchase Sprint 9</t>
        </is>
      </c>
      <c r="AP3" t="n">
        <v>3</v>
      </c>
      <c r="AQ3" t="n">
        <v>10</v>
      </c>
      <c r="AV3" t="inlineStr">
        <is>
          <t>Red</t>
        </is>
      </c>
    </row>
    <row r="4">
      <c r="B4" s="17" t="n"/>
      <c r="Q4" s="10" t="n"/>
      <c r="T4" s="37" t="inlineStr">
        <is>
          <t>Mortgage Purchase Sprint 1</t>
        </is>
      </c>
      <c r="U4" s="46" t="n">
        <v>28</v>
      </c>
      <c r="V4" s="46" t="n">
        <v>15</v>
      </c>
      <c r="W4" s="46" t="n">
        <v>2</v>
      </c>
      <c r="X4" s="46" t="n">
        <v>26</v>
      </c>
      <c r="Y4" s="46" t="n">
        <v>0</v>
      </c>
      <c r="Z4" s="46" t="n">
        <v>0</v>
      </c>
      <c r="AA4" s="46" t="n">
        <v>0</v>
      </c>
      <c r="AB4" s="46" t="n">
        <v>13</v>
      </c>
      <c r="AC4" s="46">
        <f>W4-Y4</f>
        <v/>
      </c>
      <c r="AD4" s="47">
        <f>Y4/W4</f>
        <v/>
      </c>
      <c r="AE4" s="47">
        <f>Z4/X4</f>
        <v/>
      </c>
      <c r="AF4" s="47">
        <f>AA4/W4</f>
        <v/>
      </c>
      <c r="AG4" s="47">
        <f>AB4/X4</f>
        <v/>
      </c>
      <c r="AH4" s="53">
        <f>V4/U4</f>
        <v/>
      </c>
      <c r="AK4" s="2" t="inlineStr">
        <is>
          <t>Mortgage Purchase Sprint 10</t>
        </is>
      </c>
      <c r="AL4" t="n">
        <v>13</v>
      </c>
      <c r="AM4" t="n">
        <v>32</v>
      </c>
      <c r="AO4" s="2" t="inlineStr">
        <is>
          <t>Mortgage Purchase Sprint 10</t>
        </is>
      </c>
      <c r="AP4" t="n">
        <v>5</v>
      </c>
      <c r="AQ4" t="n">
        <v>8</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Mortgage Purchase Sprint 2</t>
        </is>
      </c>
      <c r="U5" s="46" t="n">
        <v>50</v>
      </c>
      <c r="V5" s="46" t="n">
        <v>38</v>
      </c>
      <c r="W5" s="46" t="n">
        <v>11</v>
      </c>
      <c r="X5" s="46" t="n">
        <v>39</v>
      </c>
      <c r="Y5" s="46" t="n">
        <v>0</v>
      </c>
      <c r="Z5" s="46" t="n">
        <v>5</v>
      </c>
      <c r="AA5" s="46" t="n">
        <v>0</v>
      </c>
      <c r="AB5" s="46" t="n">
        <v>12</v>
      </c>
      <c r="AC5" s="46">
        <f>W5-Y5</f>
        <v/>
      </c>
      <c r="AD5" s="47">
        <f>Y5/W5</f>
        <v/>
      </c>
      <c r="AE5" s="47">
        <f>Z5/X5</f>
        <v/>
      </c>
      <c r="AF5" s="47">
        <f>AA5/W5</f>
        <v/>
      </c>
      <c r="AG5" s="47">
        <f>AB5/X5</f>
        <v/>
      </c>
      <c r="AH5" s="53">
        <f>V5/U5</f>
        <v/>
      </c>
      <c r="AK5" s="2" t="inlineStr">
        <is>
          <t>Mortgage Purchase Sprint 11</t>
        </is>
      </c>
      <c r="AL5" t="n">
        <v>17</v>
      </c>
      <c r="AM5" t="n">
        <v>23</v>
      </c>
      <c r="AO5" s="2" t="inlineStr">
        <is>
          <t>Mortgage Purchase Sprint 11</t>
        </is>
      </c>
      <c r="AP5" t="n">
        <v>7</v>
      </c>
      <c r="AQ5" t="n">
        <v>10</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37" t="inlineStr">
        <is>
          <t>Mortgage Purchase Sprint 3</t>
        </is>
      </c>
      <c r="U6" s="46" t="n">
        <v>59</v>
      </c>
      <c r="V6" s="46" t="n">
        <v>59</v>
      </c>
      <c r="W6" s="46" t="n">
        <v>21</v>
      </c>
      <c r="X6" s="46" t="n">
        <v>38</v>
      </c>
      <c r="Y6" s="46" t="n">
        <v>0</v>
      </c>
      <c r="Z6" s="46" t="n">
        <v>19</v>
      </c>
      <c r="AA6" s="46" t="n">
        <v>0</v>
      </c>
      <c r="AB6" s="46" t="n">
        <v>0</v>
      </c>
      <c r="AC6" s="46">
        <f>W6-Y6</f>
        <v/>
      </c>
      <c r="AD6" s="47">
        <f>Y6/W6</f>
        <v/>
      </c>
      <c r="AE6" s="47">
        <f>Z6/X6</f>
        <v/>
      </c>
      <c r="AF6" s="47">
        <f>AA6/W6</f>
        <v/>
      </c>
      <c r="AG6" s="47">
        <f>AB6/X6</f>
        <v/>
      </c>
      <c r="AH6" s="53">
        <f>V6/U6</f>
        <v/>
      </c>
      <c r="AK6" s="2" t="inlineStr">
        <is>
          <t>Mortgage Purchase Sprint 12</t>
        </is>
      </c>
      <c r="AL6" t="n">
        <v>6</v>
      </c>
      <c r="AM6" t="n">
        <v>30</v>
      </c>
      <c r="AO6" s="2" t="inlineStr">
        <is>
          <t>Mortgage Purchase Sprint 12</t>
        </is>
      </c>
      <c r="AP6" t="n">
        <v>0</v>
      </c>
      <c r="AQ6" t="n">
        <v>6</v>
      </c>
    </row>
    <row r="7">
      <c r="B7" s="85" t="n"/>
      <c r="C7" s="100" t="inlineStr">
        <is>
          <t>Sub Project</t>
        </is>
      </c>
      <c r="D7" s="310" t="inlineStr">
        <is>
          <t>Mortgage Purchase</t>
        </is>
      </c>
      <c r="H7" s="101" t="n"/>
      <c r="I7" s="101" t="n"/>
      <c r="J7" s="89" t="n"/>
      <c r="K7" s="89" t="n"/>
      <c r="L7" s="90" t="n"/>
      <c r="M7" s="90" t="n"/>
      <c r="N7" s="90" t="n"/>
      <c r="O7" s="90" t="n"/>
      <c r="P7" s="87" t="n"/>
      <c r="Q7" s="93" t="n"/>
      <c r="T7" s="37" t="inlineStr">
        <is>
          <t>Mortgage Purchase Sprint 4</t>
        </is>
      </c>
      <c r="U7" s="46" t="n">
        <v>75</v>
      </c>
      <c r="V7" s="46" t="n">
        <v>75</v>
      </c>
      <c r="W7" s="46" t="n">
        <v>35</v>
      </c>
      <c r="X7" s="46" t="n">
        <v>40</v>
      </c>
      <c r="Y7" s="46" t="n">
        <v>7</v>
      </c>
      <c r="Z7" s="46" t="n">
        <v>3</v>
      </c>
      <c r="AA7" s="46" t="n">
        <v>0</v>
      </c>
      <c r="AB7" s="46" t="n">
        <v>0</v>
      </c>
      <c r="AC7" s="46">
        <f>W7-Y7</f>
        <v/>
      </c>
      <c r="AD7" s="47">
        <f>Y7/W7</f>
        <v/>
      </c>
      <c r="AE7" s="47">
        <f>Z7/X7</f>
        <v/>
      </c>
      <c r="AF7" s="47">
        <f>AA7/W7</f>
        <v/>
      </c>
      <c r="AG7" s="47">
        <f>AB7/X7</f>
        <v/>
      </c>
      <c r="AH7" s="53">
        <f>V7/U7</f>
        <v/>
      </c>
      <c r="AK7" s="2" t="inlineStr">
        <is>
          <t>Mortgage Purchase Sprint 13</t>
        </is>
      </c>
      <c r="AL7" t="n">
        <v>17</v>
      </c>
      <c r="AM7" t="n">
        <v>21</v>
      </c>
      <c r="AO7" s="2" t="inlineStr">
        <is>
          <t>Mortgage Purchase Sprint 13</t>
        </is>
      </c>
      <c r="AP7" t="n">
        <v>3</v>
      </c>
      <c r="AQ7" t="n">
        <v>14</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Mortgage Purchase Sprint 5</t>
        </is>
      </c>
      <c r="U8" s="46">
        <f>44</f>
        <v/>
      </c>
      <c r="V8" s="46" t="n">
        <v>40</v>
      </c>
      <c r="W8" s="46" t="n">
        <v>6</v>
      </c>
      <c r="X8" s="46" t="n">
        <v>38</v>
      </c>
      <c r="Y8" s="46" t="n">
        <v>0</v>
      </c>
      <c r="Z8" s="46" t="n">
        <v>0</v>
      </c>
      <c r="AA8" s="46" t="n">
        <v>3</v>
      </c>
      <c r="AB8" s="46" t="n">
        <v>1</v>
      </c>
      <c r="AC8" s="46">
        <f>W8-Y8</f>
        <v/>
      </c>
      <c r="AD8" s="47">
        <f>Y8/W8</f>
        <v/>
      </c>
      <c r="AE8" s="47">
        <f>Z8/X8</f>
        <v/>
      </c>
      <c r="AF8" s="47">
        <f>AA8/W8</f>
        <v/>
      </c>
      <c r="AG8" s="47">
        <f>AB8/X8</f>
        <v/>
      </c>
      <c r="AH8" s="53">
        <f>V8/U8</f>
        <v/>
      </c>
      <c r="AK8" s="2" t="inlineStr">
        <is>
          <t>Mortgage Purchase Sprint 14</t>
        </is>
      </c>
      <c r="AL8" t="n">
        <v>12</v>
      </c>
      <c r="AM8" t="n">
        <v>17</v>
      </c>
      <c r="AO8" s="2" t="inlineStr">
        <is>
          <t>Mortgage Purchase Sprint 14</t>
        </is>
      </c>
      <c r="AP8" t="n">
        <v>2</v>
      </c>
      <c r="AQ8" t="n">
        <v>10</v>
      </c>
    </row>
    <row r="9">
      <c r="B9" s="85" t="n"/>
      <c r="C9" s="100" t="inlineStr">
        <is>
          <t>Project Manager/Lead</t>
        </is>
      </c>
      <c r="D9" s="310" t="inlineStr">
        <is>
          <t>Payal</t>
        </is>
      </c>
      <c r="E9" s="310" t="n"/>
      <c r="F9" s="310" t="n"/>
      <c r="G9" s="310" t="n"/>
      <c r="H9" s="87" t="n"/>
      <c r="I9" s="87" t="n"/>
      <c r="J9" s="87" t="n"/>
      <c r="K9" s="87" t="n"/>
      <c r="L9" s="87" t="n"/>
      <c r="M9" s="87" t="n"/>
      <c r="N9" s="87" t="n"/>
      <c r="O9" s="87" t="n"/>
      <c r="P9" s="87" t="n"/>
      <c r="Q9" s="93" t="n"/>
      <c r="T9" s="37" t="inlineStr">
        <is>
          <t>Mortgage Purchase Sprint 6</t>
        </is>
      </c>
      <c r="U9" s="46" t="n">
        <v>46</v>
      </c>
      <c r="V9" s="46" t="n">
        <v>45</v>
      </c>
      <c r="W9" s="46" t="n">
        <v>10</v>
      </c>
      <c r="X9" s="46" t="n">
        <v>36</v>
      </c>
      <c r="Y9" s="46" t="n">
        <v>0</v>
      </c>
      <c r="Z9" s="46" t="n">
        <v>0</v>
      </c>
      <c r="AA9" s="46" t="n">
        <v>0</v>
      </c>
      <c r="AB9" s="46" t="n">
        <v>1</v>
      </c>
      <c r="AC9" s="46">
        <f>W9-Y9</f>
        <v/>
      </c>
      <c r="AD9" s="47">
        <f>Y9/W9</f>
        <v/>
      </c>
      <c r="AE9" s="47">
        <f>Z9/X9</f>
        <v/>
      </c>
      <c r="AF9" s="47">
        <f>AA9/W9</f>
        <v/>
      </c>
      <c r="AG9" s="47">
        <f>AB9/X9</f>
        <v/>
      </c>
      <c r="AH9" s="53">
        <f>V9/U9</f>
        <v/>
      </c>
      <c r="AK9" s="2" t="inlineStr">
        <is>
          <t>Grand Total</t>
        </is>
      </c>
      <c r="AL9" t="n">
        <v>88</v>
      </c>
      <c r="AM9" t="n">
        <v>201</v>
      </c>
      <c r="AO9" s="2" t="inlineStr">
        <is>
          <t>Grand Total</t>
        </is>
      </c>
      <c r="AP9" t="n">
        <v>20</v>
      </c>
      <c r="AQ9" t="n">
        <v>68</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Mortgage Purchase Sprint 7</t>
        </is>
      </c>
      <c r="U10" s="46" t="n">
        <v>50</v>
      </c>
      <c r="V10" s="46" t="n">
        <v>48</v>
      </c>
      <c r="W10" s="46" t="n">
        <v>11</v>
      </c>
      <c r="X10" s="46" t="n">
        <v>39</v>
      </c>
      <c r="Y10" s="46" t="n">
        <v>8</v>
      </c>
      <c r="Z10" s="46" t="n">
        <v>17</v>
      </c>
      <c r="AA10" s="46" t="n">
        <v>0</v>
      </c>
      <c r="AB10" s="46" t="n">
        <v>2</v>
      </c>
      <c r="AC10" s="46">
        <f>W10-Y10</f>
        <v/>
      </c>
      <c r="AD10" s="47">
        <f>Y10/W10</f>
        <v/>
      </c>
      <c r="AE10" s="47">
        <f>Z10/X10</f>
        <v/>
      </c>
      <c r="AF10" s="47">
        <f>AA10/W10</f>
        <v/>
      </c>
      <c r="AG10" s="47">
        <f>AB10/X10</f>
        <v/>
      </c>
      <c r="AH10" s="53">
        <f>V10/U10</f>
        <v/>
      </c>
      <c r="AO10" s="2" t="n"/>
    </row>
    <row r="11">
      <c r="B11" s="85" t="n"/>
      <c r="C11" s="100" t="inlineStr">
        <is>
          <t>Client Feedback</t>
        </is>
      </c>
      <c r="D11" s="310" t="inlineStr">
        <is>
          <t>-</t>
        </is>
      </c>
      <c r="H11" s="87" t="n"/>
      <c r="I11" s="87" t="n"/>
      <c r="J11" s="90" t="n"/>
      <c r="K11" s="90" t="n"/>
      <c r="L11" s="90" t="n"/>
      <c r="M11" s="90" t="n"/>
      <c r="N11" s="90" t="n"/>
      <c r="O11" s="90" t="n"/>
      <c r="P11" s="87" t="n"/>
      <c r="Q11" s="93" t="n"/>
      <c r="T11" s="37" t="inlineStr">
        <is>
          <t>Mortgage Purchase Sprint 8</t>
        </is>
      </c>
      <c r="U11" s="46" t="n">
        <v>49</v>
      </c>
      <c r="V11" s="46" t="n">
        <v>31</v>
      </c>
      <c r="W11" s="46" t="n">
        <v>10</v>
      </c>
      <c r="X11" s="46" t="n">
        <v>39</v>
      </c>
      <c r="Y11" s="46" t="n">
        <v>0</v>
      </c>
      <c r="Z11" s="46" t="n">
        <v>12</v>
      </c>
      <c r="AA11" s="46" t="n">
        <v>5</v>
      </c>
      <c r="AB11" s="46" t="n">
        <v>13</v>
      </c>
      <c r="AC11" s="46">
        <f>W11-Y11</f>
        <v/>
      </c>
      <c r="AD11" s="47">
        <f>Y11/W11</f>
        <v/>
      </c>
      <c r="AE11" s="47">
        <f>Z11/X11</f>
        <v/>
      </c>
      <c r="AF11" s="47">
        <f>AA11/W11</f>
        <v/>
      </c>
      <c r="AG11" s="47">
        <f>AB11/X11</f>
        <v/>
      </c>
      <c r="AH11" s="53">
        <f>V11/U11</f>
        <v/>
      </c>
      <c r="AK11" s="69" t="inlineStr">
        <is>
          <t>Sprint</t>
        </is>
      </c>
      <c r="AL11" s="83" t="inlineStr">
        <is>
          <t>V2</t>
        </is>
      </c>
      <c r="AM11" s="83" t="inlineStr">
        <is>
          <t>LT</t>
        </is>
      </c>
      <c r="AO11" s="2" t="inlineStr">
        <is>
          <t>QA Passed</t>
        </is>
      </c>
      <c r="AP11">
        <f>GETPIVOTDATA("Sum of QA Passed",$AO$1)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Mortgage Purchase Sprint 9</t>
        </is>
      </c>
      <c r="U12" s="46" t="n">
        <v>52</v>
      </c>
      <c r="V12" s="46" t="n">
        <v>46</v>
      </c>
      <c r="W12" s="46" t="n">
        <v>13</v>
      </c>
      <c r="X12" s="46" t="n">
        <v>39</v>
      </c>
      <c r="Y12" s="46" t="n">
        <v>3</v>
      </c>
      <c r="Z12" s="46" t="n">
        <v>21</v>
      </c>
      <c r="AA12" s="46" t="n">
        <v>0</v>
      </c>
      <c r="AB12" s="46" t="n">
        <v>6</v>
      </c>
      <c r="AC12" s="46">
        <f>W12-Y12</f>
        <v/>
      </c>
      <c r="AD12" s="47">
        <f>Y12/W12</f>
        <v/>
      </c>
      <c r="AE12" s="47">
        <f>Z12/X12</f>
        <v/>
      </c>
      <c r="AF12" s="47">
        <f>AA12/W12</f>
        <v/>
      </c>
      <c r="AG12" s="47">
        <f>AB12/X12</f>
        <v/>
      </c>
      <c r="AH12" s="53">
        <f>V12/U12</f>
        <v/>
      </c>
      <c r="AK12" s="69">
        <f>AK2</f>
        <v/>
      </c>
      <c r="AL12" s="52">
        <f>AL2</f>
        <v/>
      </c>
      <c r="AM12" s="52">
        <f>AM2</f>
        <v/>
      </c>
      <c r="AO12" s="2" t="inlineStr">
        <is>
          <t>Rework</t>
        </is>
      </c>
      <c r="AP12">
        <f>GETPIVOTDATA("Sum of Rework",$AO$1)</f>
        <v/>
      </c>
    </row>
    <row r="13">
      <c r="B13" s="85" t="n"/>
      <c r="C13" s="100" t="inlineStr">
        <is>
          <t>Off-shore team</t>
        </is>
      </c>
      <c r="D13" s="309" t="inlineStr">
        <is>
          <t>Allocated</t>
        </is>
      </c>
      <c r="E13" s="316" t="n"/>
      <c r="F13" s="102" t="n">
        <v>3</v>
      </c>
      <c r="G13" s="317" t="inlineStr">
        <is>
          <t>Billable</t>
        </is>
      </c>
      <c r="H13" s="316" t="n"/>
      <c r="I13" s="102" t="n">
        <v>3</v>
      </c>
      <c r="J13" s="90" t="n"/>
      <c r="K13" s="90" t="n"/>
      <c r="L13" s="90" t="n"/>
      <c r="M13" s="90" t="n"/>
      <c r="N13" s="90" t="n"/>
      <c r="O13" s="90" t="n"/>
      <c r="P13" s="87" t="n"/>
      <c r="Q13" s="93" t="n"/>
      <c r="T13" s="37" t="inlineStr">
        <is>
          <t>Mortgage Purchase Sprint 10</t>
        </is>
      </c>
      <c r="U13" s="72" t="n">
        <v>45</v>
      </c>
      <c r="V13" s="72" t="n">
        <v>36</v>
      </c>
      <c r="W13" s="72" t="n">
        <v>13</v>
      </c>
      <c r="X13" s="72" t="n">
        <v>32</v>
      </c>
      <c r="Y13" s="72" t="n">
        <v>5</v>
      </c>
      <c r="Z13" s="72" t="n">
        <v>7</v>
      </c>
      <c r="AA13" s="72" t="n">
        <v>5</v>
      </c>
      <c r="AB13" s="72" t="n">
        <v>4</v>
      </c>
      <c r="AC13" s="46">
        <f>W13-Y13</f>
        <v/>
      </c>
      <c r="AD13" s="47">
        <f>Y13/W13</f>
        <v/>
      </c>
      <c r="AE13" s="47">
        <f>Z13/X13</f>
        <v/>
      </c>
      <c r="AF13" s="47">
        <f>AA13/W13</f>
        <v/>
      </c>
      <c r="AG13" s="47">
        <f>AB13/X13</f>
        <v/>
      </c>
      <c r="AH13" s="53">
        <f>V13/U13</f>
        <v/>
      </c>
      <c r="AK13" s="69">
        <f>AK3</f>
        <v/>
      </c>
      <c r="AL13" s="52">
        <f>AL3</f>
        <v/>
      </c>
      <c r="AM13" s="52">
        <f>AM3</f>
        <v/>
      </c>
      <c r="AO13" s="2" t="n"/>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7" t="inlineStr">
        <is>
          <t>Mortgage Purchase Sprint 11</t>
        </is>
      </c>
      <c r="U14" s="46" t="n">
        <v>40</v>
      </c>
      <c r="V14" s="46" t="n">
        <v>27</v>
      </c>
      <c r="W14" s="46" t="n">
        <v>17</v>
      </c>
      <c r="X14" s="46" t="n">
        <v>23</v>
      </c>
      <c r="Y14" s="46" t="n">
        <v>7</v>
      </c>
      <c r="Z14" s="46" t="n">
        <v>8</v>
      </c>
      <c r="AA14" s="46" t="n">
        <v>3</v>
      </c>
      <c r="AB14" s="46" t="n">
        <v>10</v>
      </c>
      <c r="AC14" s="46">
        <f>W14-Y14</f>
        <v/>
      </c>
      <c r="AD14" s="47">
        <f>Y14/W14</f>
        <v/>
      </c>
      <c r="AE14" s="47">
        <f>Z14/X14</f>
        <v/>
      </c>
      <c r="AF14" s="47">
        <f>AA14/W14</f>
        <v/>
      </c>
      <c r="AG14" s="47">
        <f>AB14/X14</f>
        <v/>
      </c>
      <c r="AH14" s="53">
        <f>V14/U14</f>
        <v/>
      </c>
      <c r="AK14" s="31">
        <f>AK4</f>
        <v/>
      </c>
      <c r="AL14" s="52">
        <f>AL4</f>
        <v/>
      </c>
      <c r="AM14" s="52">
        <f>AM4</f>
        <v/>
      </c>
      <c r="AN14" s="19" t="n"/>
      <c r="AO14" s="19" t="n"/>
      <c r="AP14" s="19" t="n"/>
    </row>
    <row r="15">
      <c r="B15" s="94" t="n"/>
      <c r="C15" s="95" t="n"/>
      <c r="D15" s="96" t="n"/>
      <c r="E15" s="96" t="n"/>
      <c r="F15" s="96" t="n"/>
      <c r="G15" s="96" t="n"/>
      <c r="H15" s="96" t="n"/>
      <c r="I15" s="96" t="n"/>
      <c r="J15" s="96" t="n"/>
      <c r="K15" s="96" t="n"/>
      <c r="L15" s="96" t="n"/>
      <c r="M15" s="96" t="n"/>
      <c r="N15" s="97" t="n"/>
      <c r="O15" s="98" t="n"/>
      <c r="P15" s="98" t="n"/>
      <c r="Q15" s="99" t="n"/>
      <c r="T15" s="37" t="inlineStr">
        <is>
          <t>Mortgage Purchase Sprint 12</t>
        </is>
      </c>
      <c r="U15" s="46" t="n">
        <v>36</v>
      </c>
      <c r="V15" s="46" t="n">
        <v>31</v>
      </c>
      <c r="W15" s="46" t="n">
        <v>6</v>
      </c>
      <c r="X15" s="46" t="n">
        <v>30</v>
      </c>
      <c r="Y15" s="46" t="n">
        <v>0</v>
      </c>
      <c r="Z15" s="46" t="n">
        <v>6</v>
      </c>
      <c r="AA15" s="46" t="n">
        <v>0</v>
      </c>
      <c r="AB15" s="46" t="n">
        <v>5</v>
      </c>
      <c r="AC15" s="46">
        <f>W15-Y15</f>
        <v/>
      </c>
      <c r="AD15" s="47">
        <f>Y15/W15</f>
        <v/>
      </c>
      <c r="AE15" s="47">
        <f>Z15/X15</f>
        <v/>
      </c>
      <c r="AF15" s="47">
        <f>AA15/W15</f>
        <v/>
      </c>
      <c r="AG15" s="47">
        <f>AB15/X15</f>
        <v/>
      </c>
      <c r="AH15" s="53">
        <f>V15/U15</f>
        <v/>
      </c>
      <c r="AK15" s="31">
        <f>AK5</f>
        <v/>
      </c>
      <c r="AL15" s="52">
        <f>AL5</f>
        <v/>
      </c>
      <c r="AM15" s="52">
        <f>AM5</f>
        <v/>
      </c>
      <c r="AN15" s="19" t="n"/>
      <c r="AO15" s="19" t="n"/>
      <c r="AP15" s="19" t="n"/>
    </row>
    <row r="16">
      <c r="T16" s="37" t="inlineStr">
        <is>
          <t>Mortgage Purchase Sprint 13</t>
        </is>
      </c>
      <c r="U16" s="46" t="n">
        <v>38</v>
      </c>
      <c r="V16" s="46" t="n">
        <v>38</v>
      </c>
      <c r="W16" s="46" t="n">
        <v>17</v>
      </c>
      <c r="X16" s="46" t="n">
        <v>21</v>
      </c>
      <c r="Y16" s="46" t="n">
        <v>3</v>
      </c>
      <c r="Z16" s="46" t="n">
        <v>4</v>
      </c>
      <c r="AA16" s="46" t="n">
        <v>0</v>
      </c>
      <c r="AB16" s="46" t="n">
        <v>0</v>
      </c>
      <c r="AC16" s="46">
        <f>W16-Y16</f>
        <v/>
      </c>
      <c r="AD16" s="47">
        <f>Y16/W16</f>
        <v/>
      </c>
      <c r="AE16" s="47">
        <f>Z16/X16</f>
        <v/>
      </c>
      <c r="AF16" s="47">
        <f>AA16/W16</f>
        <v/>
      </c>
      <c r="AG16" s="47">
        <f>AB16/X16</f>
        <v/>
      </c>
      <c r="AH16" s="53">
        <f>V16/U16</f>
        <v/>
      </c>
      <c r="AK16" s="31">
        <f>AK6</f>
        <v/>
      </c>
      <c r="AL16" s="52">
        <f>AL6</f>
        <v/>
      </c>
      <c r="AM16" s="52">
        <f>AM6</f>
        <v/>
      </c>
      <c r="AN16" s="19" t="n"/>
      <c r="AO16" s="19" t="n"/>
      <c r="AP16" s="19" t="n"/>
    </row>
    <row r="17">
      <c r="T17" s="37" t="inlineStr">
        <is>
          <t>Mortgage Purchase Sprint 14</t>
        </is>
      </c>
      <c r="U17" s="46" t="n">
        <v>29</v>
      </c>
      <c r="V17" s="46" t="n">
        <v>26</v>
      </c>
      <c r="W17" s="46" t="n">
        <v>12</v>
      </c>
      <c r="X17" s="46" t="n">
        <v>17</v>
      </c>
      <c r="Y17" s="46" t="n">
        <v>2</v>
      </c>
      <c r="Z17" s="46" t="n">
        <v>2</v>
      </c>
      <c r="AA17" s="46" t="n">
        <v>3</v>
      </c>
      <c r="AB17" s="46" t="n">
        <v>0</v>
      </c>
      <c r="AC17" s="46">
        <f>W17-Y17</f>
        <v/>
      </c>
      <c r="AD17" s="47">
        <f>Y17/W17</f>
        <v/>
      </c>
      <c r="AE17" s="47">
        <f>Z17/X17</f>
        <v/>
      </c>
      <c r="AF17" s="47">
        <f>AA17/W17</f>
        <v/>
      </c>
      <c r="AG17" s="47">
        <f>AB17/X17</f>
        <v/>
      </c>
      <c r="AH17" s="53">
        <f>V17/U17</f>
        <v/>
      </c>
      <c r="AK17" s="31">
        <f>AK7</f>
        <v/>
      </c>
      <c r="AL17" s="52">
        <f>AL7</f>
        <v/>
      </c>
      <c r="AM17" s="52">
        <f>AM7</f>
        <v/>
      </c>
      <c r="AN17" s="19" t="n"/>
      <c r="AO17" s="19" t="n"/>
      <c r="AP17" s="19" t="n"/>
    </row>
    <row r="18">
      <c r="T18" s="37" t="n"/>
      <c r="U18" s="46" t="n"/>
      <c r="V18" s="46" t="n"/>
      <c r="W18" s="46" t="n"/>
      <c r="X18" s="46" t="n"/>
      <c r="Y18" s="46" t="n"/>
      <c r="Z18" s="46" t="n"/>
      <c r="AA18" s="46" t="n"/>
      <c r="AB18" s="46" t="n"/>
      <c r="AC18" s="72" t="n"/>
      <c r="AD18" s="76" t="n"/>
      <c r="AE18" s="76" t="n"/>
      <c r="AF18" s="76" t="n"/>
      <c r="AG18" s="76" t="n"/>
      <c r="AH18" s="53" t="n"/>
      <c r="AK18" s="31">
        <f>AK8</f>
        <v/>
      </c>
      <c r="AL18" s="52">
        <f>AL8</f>
        <v/>
      </c>
      <c r="AM18" s="52">
        <f>AM8</f>
        <v/>
      </c>
      <c r="AN18" s="19" t="n"/>
      <c r="AO18" s="19" t="n"/>
      <c r="AP18" s="19" t="n"/>
    </row>
    <row r="19">
      <c r="T19" s="37" t="n"/>
      <c r="U19" s="46" t="n"/>
      <c r="V19" s="46" t="n"/>
      <c r="W19" s="46" t="n"/>
      <c r="X19" s="46" t="n"/>
      <c r="Y19" s="46" t="n"/>
      <c r="Z19" s="46" t="n"/>
      <c r="AA19" s="46" t="n"/>
      <c r="AB19" s="46" t="n"/>
      <c r="AC19" s="72" t="n"/>
      <c r="AD19" s="76" t="n"/>
      <c r="AE19" s="76" t="n"/>
      <c r="AF19" s="76" t="n"/>
      <c r="AG19" s="76" t="n"/>
      <c r="AH19" s="53" t="n"/>
    </row>
    <row r="20">
      <c r="T20" s="37" t="n"/>
      <c r="U20" s="46" t="n"/>
      <c r="V20" s="46" t="n"/>
      <c r="W20" s="46" t="n"/>
      <c r="X20" s="46" t="n"/>
      <c r="Y20" s="46" t="n"/>
      <c r="Z20" s="46" t="n"/>
      <c r="AA20" s="46" t="n"/>
      <c r="AB20" s="46" t="n"/>
      <c r="AC20" s="72" t="n"/>
      <c r="AD20" s="76" t="n"/>
      <c r="AE20" s="76" t="n"/>
      <c r="AF20" s="76" t="n"/>
      <c r="AG20" s="76" t="n"/>
      <c r="AH20" s="53" t="n"/>
    </row>
    <row r="21">
      <c r="T21" s="37" t="n"/>
      <c r="U21" s="46" t="n"/>
      <c r="V21" s="46" t="n"/>
      <c r="W21" s="46" t="n"/>
      <c r="X21" s="46" t="n"/>
      <c r="Y21" s="46" t="n"/>
      <c r="Z21" s="46" t="n"/>
      <c r="AA21" s="46" t="n"/>
      <c r="AB21" s="46" t="n"/>
      <c r="AC21" s="72" t="n"/>
      <c r="AD21" s="76" t="n"/>
      <c r="AE21" s="76" t="n"/>
      <c r="AF21" s="76" t="n"/>
      <c r="AG21" s="76" t="n"/>
      <c r="AH21" s="53" t="n"/>
      <c r="AK21" s="4" t="inlineStr">
        <is>
          <t>Row Labels</t>
        </is>
      </c>
      <c r="AL21" t="inlineStr">
        <is>
          <t>Sum of V2 Reopen Percentage</t>
        </is>
      </c>
      <c r="AM21" t="inlineStr">
        <is>
          <t>Sum of LT Reopen Percentage</t>
        </is>
      </c>
      <c r="AO21" s="4" t="inlineStr">
        <is>
          <t>Row Labels</t>
        </is>
      </c>
      <c r="AP21" t="inlineStr">
        <is>
          <t>Sum of V2 Carryover Percentage</t>
        </is>
      </c>
      <c r="AQ21" t="inlineStr">
        <is>
          <t>Sum of LT Carryover Percentage</t>
        </is>
      </c>
    </row>
    <row r="22">
      <c r="T22" s="37" t="n"/>
      <c r="U22" s="46" t="n"/>
      <c r="V22" s="46" t="n"/>
      <c r="W22" s="46" t="n"/>
      <c r="X22" s="46" t="n"/>
      <c r="Y22" s="46" t="n"/>
      <c r="Z22" s="46" t="n"/>
      <c r="AA22" s="46" t="n"/>
      <c r="AB22" s="46" t="n"/>
      <c r="AC22" s="72" t="n"/>
      <c r="AD22" s="76" t="n"/>
      <c r="AE22" s="76" t="n"/>
      <c r="AF22" s="76" t="n"/>
      <c r="AG22" s="76" t="n"/>
      <c r="AH22" s="53" t="n"/>
      <c r="AK22" s="2" t="inlineStr">
        <is>
          <t>Mortgage Purchase Sprint 8</t>
        </is>
      </c>
      <c r="AL22" t="n">
        <v>0</v>
      </c>
      <c r="AM22" t="n">
        <v>0.3076923076923077</v>
      </c>
      <c r="AO22" s="2" t="inlineStr">
        <is>
          <t>Mortgage Purchase Sprint 8</t>
        </is>
      </c>
      <c r="AP22" t="n">
        <v>0.5</v>
      </c>
      <c r="AQ22" t="n">
        <v>0.3333333333333333</v>
      </c>
    </row>
    <row r="23">
      <c r="T23" s="37" t="n"/>
      <c r="U23" s="46" t="n"/>
      <c r="V23" s="46" t="n"/>
      <c r="W23" s="46" t="n"/>
      <c r="X23" s="46" t="n"/>
      <c r="Y23" s="46" t="n"/>
      <c r="Z23" s="46" t="n"/>
      <c r="AA23" s="46" t="n"/>
      <c r="AB23" s="46" t="n"/>
      <c r="AC23" s="72" t="n"/>
      <c r="AD23" s="76" t="n"/>
      <c r="AE23" s="76" t="n"/>
      <c r="AF23" s="76" t="n"/>
      <c r="AG23" s="76" t="n"/>
      <c r="AH23" s="53" t="n"/>
      <c r="AK23" s="2" t="inlineStr">
        <is>
          <t>Mortgage Purchase Sprint 9</t>
        </is>
      </c>
      <c r="AL23" t="n">
        <v>0.2307692307692308</v>
      </c>
      <c r="AM23" t="n">
        <v>0.5384615384615384</v>
      </c>
      <c r="AO23" s="2" t="inlineStr">
        <is>
          <t>Mortgage Purchase Sprint 9</t>
        </is>
      </c>
      <c r="AP23" t="n">
        <v>0</v>
      </c>
      <c r="AQ23" t="n">
        <v>0.1538461538461539</v>
      </c>
    </row>
    <row r="24">
      <c r="T24" s="37" t="n"/>
      <c r="U24" s="46" t="n"/>
      <c r="V24" s="46" t="n"/>
      <c r="W24" s="46" t="n"/>
      <c r="X24" s="46" t="n"/>
      <c r="Y24" s="46" t="n"/>
      <c r="Z24" s="46" t="n"/>
      <c r="AA24" s="46" t="n"/>
      <c r="AB24" s="46" t="n"/>
      <c r="AC24" s="72" t="n"/>
      <c r="AD24" s="76" t="n"/>
      <c r="AE24" s="76" t="n"/>
      <c r="AF24" s="76" t="n"/>
      <c r="AG24" s="76" t="n"/>
      <c r="AH24" s="53" t="n"/>
      <c r="AK24" s="2" t="inlineStr">
        <is>
          <t>Mortgage Purchase Sprint 10</t>
        </is>
      </c>
      <c r="AL24" t="n">
        <v>0.3846153846153846</v>
      </c>
      <c r="AM24" t="n">
        <v>0.21875</v>
      </c>
      <c r="AO24" s="2" t="inlineStr">
        <is>
          <t>Mortgage Purchase Sprint 10</t>
        </is>
      </c>
      <c r="AP24" t="n">
        <v>0.3846153846153846</v>
      </c>
      <c r="AQ24" t="n">
        <v>0.125</v>
      </c>
    </row>
    <row r="25">
      <c r="T25" s="37" t="n"/>
      <c r="U25" s="46" t="n"/>
      <c r="V25" s="46" t="n"/>
      <c r="W25" s="46" t="n"/>
      <c r="X25" s="46" t="n"/>
      <c r="Y25" s="46" t="n"/>
      <c r="Z25" s="46" t="n"/>
      <c r="AA25" s="46" t="n"/>
      <c r="AB25" s="46" t="n"/>
      <c r="AC25" s="72" t="n"/>
      <c r="AD25" s="76" t="n"/>
      <c r="AE25" s="76" t="n"/>
      <c r="AF25" s="76" t="n"/>
      <c r="AG25" s="76" t="n"/>
      <c r="AH25" s="53" t="n"/>
      <c r="AK25" s="2" t="inlineStr">
        <is>
          <t>Mortgage Purchase Sprint 11</t>
        </is>
      </c>
      <c r="AL25" t="n">
        <v>0.4117647058823529</v>
      </c>
      <c r="AM25" t="n">
        <v>0.3478260869565217</v>
      </c>
      <c r="AO25" s="2" t="inlineStr">
        <is>
          <t>Mortgage Purchase Sprint 11</t>
        </is>
      </c>
      <c r="AP25" t="n">
        <v>0.1764705882352941</v>
      </c>
      <c r="AQ25" t="n">
        <v>0.4347826086956522</v>
      </c>
    </row>
    <row r="26">
      <c r="T26" s="37" t="n"/>
      <c r="U26" s="46" t="n"/>
      <c r="V26" s="46" t="n"/>
      <c r="W26" s="46" t="n"/>
      <c r="X26" s="46" t="n"/>
      <c r="Y26" s="46" t="n"/>
      <c r="Z26" s="46" t="n"/>
      <c r="AA26" s="46" t="n"/>
      <c r="AB26" s="46" t="n"/>
      <c r="AC26" s="72" t="n"/>
      <c r="AD26" s="76" t="n"/>
      <c r="AE26" s="76" t="n"/>
      <c r="AF26" s="76" t="n"/>
      <c r="AG26" s="76" t="n"/>
      <c r="AH26" s="53" t="n"/>
      <c r="AK26" s="2" t="inlineStr">
        <is>
          <t>Mortgage Purchase Sprint 12</t>
        </is>
      </c>
      <c r="AL26" t="n">
        <v>0</v>
      </c>
      <c r="AM26" t="n">
        <v>0.2</v>
      </c>
      <c r="AO26" s="2" t="inlineStr">
        <is>
          <t>Mortgage Purchase Sprint 12</t>
        </is>
      </c>
      <c r="AP26" t="n">
        <v>0</v>
      </c>
      <c r="AQ26" t="n">
        <v>0.1666666666666667</v>
      </c>
    </row>
    <row r="27">
      <c r="T27" s="37" t="n"/>
      <c r="U27" s="46" t="n"/>
      <c r="V27" s="46" t="n"/>
      <c r="W27" s="46" t="n"/>
      <c r="X27" s="46" t="n"/>
      <c r="Y27" s="46" t="n"/>
      <c r="Z27" s="46" t="n"/>
      <c r="AA27" s="46" t="n"/>
      <c r="AB27" s="46" t="n"/>
      <c r="AC27" s="72" t="n"/>
      <c r="AD27" s="76" t="n"/>
      <c r="AE27" s="76" t="n"/>
      <c r="AF27" s="76" t="n"/>
      <c r="AG27" s="76" t="n"/>
      <c r="AH27" s="53" t="n"/>
      <c r="AK27" s="2" t="inlineStr">
        <is>
          <t>Mortgage Purchase Sprint 13</t>
        </is>
      </c>
      <c r="AL27" t="n">
        <v>0.1764705882352941</v>
      </c>
      <c r="AM27" t="n">
        <v>0.1904761904761905</v>
      </c>
      <c r="AO27" s="2" t="inlineStr">
        <is>
          <t>Mortgage Purchase Sprint 13</t>
        </is>
      </c>
      <c r="AP27" t="n">
        <v>0</v>
      </c>
      <c r="AQ27" t="n">
        <v>0</v>
      </c>
    </row>
    <row r="28">
      <c r="T28" s="37" t="n"/>
      <c r="U28" s="46" t="n"/>
      <c r="V28" s="46" t="n"/>
      <c r="W28" s="46" t="n"/>
      <c r="X28" s="46" t="n"/>
      <c r="Y28" s="46" t="n"/>
      <c r="Z28" s="46" t="n"/>
      <c r="AA28" s="46" t="n"/>
      <c r="AB28" s="46" t="n"/>
      <c r="AC28" s="46" t="n"/>
      <c r="AD28" s="47" t="n"/>
      <c r="AE28" s="47" t="n"/>
      <c r="AF28" s="47" t="n"/>
      <c r="AG28" s="47" t="n"/>
      <c r="AH28" s="53" t="n"/>
      <c r="AK28" s="2" t="inlineStr">
        <is>
          <t>Mortgage Purchase Sprint 14</t>
        </is>
      </c>
      <c r="AL28" t="n">
        <v>0.1666666666666667</v>
      </c>
      <c r="AM28" t="n">
        <v>0.1176470588235294</v>
      </c>
      <c r="AO28" s="2" t="inlineStr">
        <is>
          <t>Mortgage Purchase Sprint 14</t>
        </is>
      </c>
      <c r="AP28" t="n">
        <v>0.25</v>
      </c>
      <c r="AQ28" t="n">
        <v>0</v>
      </c>
    </row>
    <row r="29">
      <c r="T29" s="37" t="n"/>
      <c r="U29" s="46" t="n"/>
      <c r="V29" s="46" t="n"/>
      <c r="W29" s="46" t="n"/>
      <c r="X29" s="46" t="n"/>
      <c r="Y29" s="46" t="n"/>
      <c r="Z29" s="46" t="n"/>
      <c r="AA29" s="46" t="n"/>
      <c r="AB29" s="46" t="n"/>
      <c r="AC29" s="46" t="n"/>
      <c r="AD29" s="47" t="n"/>
      <c r="AE29" s="47" t="n"/>
      <c r="AF29" s="47" t="n"/>
      <c r="AG29" s="47" t="n"/>
      <c r="AH29" s="53" t="n"/>
      <c r="AK29" s="2" t="inlineStr">
        <is>
          <t>Grand Total</t>
        </is>
      </c>
      <c r="AL29" t="n">
        <v>1.370286576168929</v>
      </c>
      <c r="AM29" t="n">
        <v>1.920853182410088</v>
      </c>
      <c r="AO29" s="2" t="inlineStr">
        <is>
          <t>Grand Total</t>
        </is>
      </c>
      <c r="AP29" t="n">
        <v>1.311085972850679</v>
      </c>
      <c r="AQ29" t="n">
        <v>1.213628762541806</v>
      </c>
    </row>
    <row r="30">
      <c r="T30" s="37" t="n"/>
      <c r="U30" s="46" t="n"/>
      <c r="V30" s="46" t="n"/>
      <c r="W30" s="46" t="n"/>
      <c r="X30" s="46" t="n"/>
      <c r="Y30" s="46" t="n"/>
      <c r="Z30" s="46" t="n"/>
      <c r="AA30" s="46" t="n"/>
      <c r="AB30" s="46" t="n"/>
      <c r="AC30" s="46" t="n"/>
      <c r="AD30" s="47" t="n"/>
      <c r="AE30" s="47" t="n"/>
      <c r="AF30" s="47" t="n"/>
      <c r="AG30" s="47" t="n"/>
      <c r="AH30" s="53" t="n"/>
    </row>
    <row r="31">
      <c r="T31" s="37" t="n"/>
      <c r="U31" s="46" t="n"/>
      <c r="V31" s="46" t="n"/>
      <c r="W31" s="46" t="n"/>
      <c r="X31" s="46" t="n"/>
      <c r="Y31" s="46" t="n"/>
      <c r="Z31" s="46" t="n"/>
      <c r="AA31" s="46" t="n"/>
      <c r="AB31" s="46" t="n"/>
      <c r="AC31" s="46" t="n"/>
      <c r="AD31" s="47" t="n"/>
      <c r="AE31" s="47" t="n"/>
      <c r="AF31" s="47" t="n"/>
      <c r="AG31" s="47" t="n"/>
      <c r="AH31" s="53" t="n"/>
      <c r="AK31" s="14" t="inlineStr">
        <is>
          <t>Sprint</t>
        </is>
      </c>
      <c r="AL31" s="15" t="inlineStr">
        <is>
          <t>V2</t>
        </is>
      </c>
      <c r="AM31" s="16" t="inlineStr">
        <is>
          <t>LT</t>
        </is>
      </c>
      <c r="AO31" s="14" t="inlineStr">
        <is>
          <t>Sprint</t>
        </is>
      </c>
      <c r="AP31" s="15" t="inlineStr">
        <is>
          <t>V2</t>
        </is>
      </c>
      <c r="AQ31" s="16" t="inlineStr">
        <is>
          <t>LT</t>
        </is>
      </c>
    </row>
    <row r="32">
      <c r="T32" s="37" t="n"/>
      <c r="U32" s="46" t="n"/>
      <c r="V32" s="46" t="n"/>
      <c r="W32" s="46" t="n"/>
      <c r="X32" s="46" t="n"/>
      <c r="Y32" s="46" t="n"/>
      <c r="Z32" s="46" t="n"/>
      <c r="AA32" s="46" t="n"/>
      <c r="AB32" s="46" t="n"/>
      <c r="AC32" s="46" t="n"/>
      <c r="AD32" s="47" t="n"/>
      <c r="AE32" s="47" t="n"/>
      <c r="AF32" s="47" t="n"/>
      <c r="AG32" s="47" t="n"/>
      <c r="AH32" s="53" t="n"/>
      <c r="AK32" s="17">
        <f>AK22</f>
        <v/>
      </c>
      <c r="AL32" s="23">
        <f>AL22</f>
        <v/>
      </c>
      <c r="AM32" s="24">
        <f>AM22</f>
        <v/>
      </c>
      <c r="AO32" s="17">
        <f>AO22</f>
        <v/>
      </c>
      <c r="AP32" s="23">
        <f>AP22</f>
        <v/>
      </c>
      <c r="AQ32" s="24">
        <f>AQ22</f>
        <v/>
      </c>
    </row>
    <row r="33">
      <c r="AK33" s="17">
        <f>AK23</f>
        <v/>
      </c>
      <c r="AL33" s="23">
        <f>AL23</f>
        <v/>
      </c>
      <c r="AM33" s="24">
        <f>AM23</f>
        <v/>
      </c>
      <c r="AO33" s="17">
        <f>AO23</f>
        <v/>
      </c>
      <c r="AP33" s="23">
        <f>AP23</f>
        <v/>
      </c>
      <c r="AQ33" s="24">
        <f>AQ23</f>
        <v/>
      </c>
    </row>
    <row r="34">
      <c r="AK34" s="17">
        <f>AK24</f>
        <v/>
      </c>
      <c r="AL34" s="23">
        <f>AL24</f>
        <v/>
      </c>
      <c r="AM34" s="24">
        <f>AM24</f>
        <v/>
      </c>
      <c r="AO34" s="17">
        <f>AO24</f>
        <v/>
      </c>
      <c r="AP34" s="23">
        <f>AP24</f>
        <v/>
      </c>
      <c r="AQ34" s="24">
        <f>AQ24</f>
        <v/>
      </c>
    </row>
    <row r="35">
      <c r="AK35" s="17">
        <f>AK25</f>
        <v/>
      </c>
      <c r="AL35" s="23">
        <f>AL25</f>
        <v/>
      </c>
      <c r="AM35" s="24">
        <f>AM25</f>
        <v/>
      </c>
      <c r="AO35" s="17">
        <f>AO25</f>
        <v/>
      </c>
      <c r="AP35" s="23">
        <f>AP25</f>
        <v/>
      </c>
      <c r="AQ35" s="24">
        <f>AQ25</f>
        <v/>
      </c>
    </row>
    <row r="36">
      <c r="AK36" s="17">
        <f>AK26</f>
        <v/>
      </c>
      <c r="AL36" s="23">
        <f>AL26</f>
        <v/>
      </c>
      <c r="AM36" s="24">
        <f>AM26</f>
        <v/>
      </c>
      <c r="AO36" s="17">
        <f>AO26</f>
        <v/>
      </c>
      <c r="AP36" s="23">
        <f>AP26</f>
        <v/>
      </c>
      <c r="AQ36" s="24">
        <f>AQ26</f>
        <v/>
      </c>
    </row>
    <row r="37">
      <c r="AK37" s="17">
        <f>AK27</f>
        <v/>
      </c>
      <c r="AL37" s="23">
        <f>AL27</f>
        <v/>
      </c>
      <c r="AM37" s="24">
        <f>AM27</f>
        <v/>
      </c>
      <c r="AO37" s="17">
        <f>AO27</f>
        <v/>
      </c>
      <c r="AP37" s="23">
        <f>AP27</f>
        <v/>
      </c>
      <c r="AQ37" s="24">
        <f>AQ27</f>
        <v/>
      </c>
    </row>
    <row r="38">
      <c r="AK38" s="18">
        <f>AK28</f>
        <v/>
      </c>
      <c r="AL38" s="25">
        <f>AL28</f>
        <v/>
      </c>
      <c r="AM38" s="26">
        <f>AM28</f>
        <v/>
      </c>
      <c r="AO38" s="18">
        <f>AO28</f>
        <v/>
      </c>
      <c r="AP38" s="25">
        <f>AP28</f>
        <v/>
      </c>
      <c r="AQ38" s="26">
        <f>AQ28</f>
        <v/>
      </c>
    </row>
    <row r="41">
      <c r="AK41" s="4" t="inlineStr">
        <is>
          <t>Row Labels</t>
        </is>
      </c>
      <c r="AL41" t="inlineStr">
        <is>
          <t>Sum of Planned Vs Completed ratio</t>
        </is>
      </c>
    </row>
    <row r="42">
      <c r="AK42" s="2" t="inlineStr">
        <is>
          <t>Mortgage Purchase Sprint 8</t>
        </is>
      </c>
      <c r="AL42" t="n">
        <v>0.6326530612244898</v>
      </c>
    </row>
    <row r="43">
      <c r="AK43" s="2" t="inlineStr">
        <is>
          <t>Mortgage Purchase Sprint 9</t>
        </is>
      </c>
      <c r="AL43" t="n">
        <v>0.8846153846153846</v>
      </c>
    </row>
    <row r="44">
      <c r="AK44" s="2" t="inlineStr">
        <is>
          <t>Mortgage Purchase Sprint 10</t>
        </is>
      </c>
      <c r="AL44" t="n">
        <v>0.8</v>
      </c>
    </row>
    <row r="45">
      <c r="AK45" s="2" t="inlineStr">
        <is>
          <t>Mortgage Purchase Sprint 11</t>
        </is>
      </c>
      <c r="AL45" t="n">
        <v>0.675</v>
      </c>
    </row>
    <row r="46">
      <c r="AK46" s="2" t="inlineStr">
        <is>
          <t>Mortgage Purchase Sprint 12</t>
        </is>
      </c>
      <c r="AL46" t="n">
        <v>0.8611111111111112</v>
      </c>
    </row>
    <row r="47">
      <c r="AK47" s="2" t="inlineStr">
        <is>
          <t>Mortgage Purchase Sprint 13</t>
        </is>
      </c>
      <c r="AL47" t="n">
        <v>1</v>
      </c>
    </row>
    <row r="48">
      <c r="AK48" s="2" t="inlineStr">
        <is>
          <t>Mortgage Purchase Sprint 14</t>
        </is>
      </c>
      <c r="AL48" t="n">
        <v>0.896551724137931</v>
      </c>
    </row>
    <row r="49">
      <c r="AK49" s="2" t="inlineStr">
        <is>
          <t>Grand Total</t>
        </is>
      </c>
      <c r="AL49" t="n">
        <v>5.749931281088916</v>
      </c>
    </row>
    <row r="51">
      <c r="AK51" s="108" t="inlineStr">
        <is>
          <t>Sprint</t>
        </is>
      </c>
      <c r="AL51" s="109" t="inlineStr">
        <is>
          <t>Planned Vs Completed Ratio</t>
        </is>
      </c>
    </row>
    <row r="52">
      <c r="AK52" s="83">
        <f>AK42</f>
        <v/>
      </c>
      <c r="AL52" s="32">
        <f>AL42</f>
        <v/>
      </c>
    </row>
    <row r="53">
      <c r="AK53" s="83">
        <f>AK43</f>
        <v/>
      </c>
      <c r="AL53" s="32">
        <f>AL43</f>
        <v/>
      </c>
    </row>
    <row r="54">
      <c r="AK54" s="83">
        <f>AK44</f>
        <v/>
      </c>
      <c r="AL54" s="32">
        <f>AL44</f>
        <v/>
      </c>
    </row>
    <row r="55">
      <c r="AK55" s="83">
        <f>AK45</f>
        <v/>
      </c>
      <c r="AL55" s="32">
        <f>AL45</f>
        <v/>
      </c>
    </row>
    <row r="56">
      <c r="AK56" s="83">
        <f>AK46</f>
        <v/>
      </c>
      <c r="AL56" s="32">
        <f>AL46</f>
        <v/>
      </c>
    </row>
    <row r="57">
      <c r="AK57" s="83">
        <f>AK47</f>
        <v/>
      </c>
      <c r="AL57" s="32">
        <f>AL47</f>
        <v/>
      </c>
    </row>
    <row r="58">
      <c r="AK58" s="83">
        <f>AK48</f>
        <v/>
      </c>
      <c r="AL58" s="32">
        <f>AL48</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AG17"/>
  <sheetViews>
    <sheetView zoomScale="70" zoomScaleNormal="70" workbookViewId="0">
      <pane ySplit="1" topLeftCell="A2" activePane="bottomLeft" state="frozen"/>
      <selection pane="bottomLeft" activeCell="L12" sqref="L12"/>
    </sheetView>
  </sheetViews>
  <sheetFormatPr baseColWidth="8" defaultRowHeight="15"/>
  <cols>
    <col width="18.7109375" customWidth="1" min="19" max="19"/>
    <col width="20.85546875" customWidth="1" min="20" max="20"/>
    <col width="14.140625" customWidth="1" min="31" max="31"/>
    <col width="15" customWidth="1" min="33" max="33"/>
  </cols>
  <sheetData>
    <row r="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row>
    <row r="2">
      <c r="B2" s="314" t="inlineStr">
        <is>
          <t>PROJECT HEALTH DASHBOARD</t>
        </is>
      </c>
      <c r="C2" s="28" t="n"/>
      <c r="D2" s="28" t="n"/>
      <c r="E2" s="28" t="n"/>
      <c r="F2" s="28" t="n"/>
      <c r="G2" s="28" t="n"/>
      <c r="H2" s="28" t="n"/>
      <c r="I2" s="28" t="n"/>
      <c r="J2" s="28" t="n"/>
      <c r="K2" s="28" t="n"/>
      <c r="L2" s="28" t="n"/>
      <c r="M2" s="28" t="n"/>
      <c r="N2" s="28" t="n"/>
      <c r="O2" s="28" t="n"/>
      <c r="P2" s="28" t="n"/>
      <c r="Q2" s="29" t="n"/>
      <c r="S2" s="37" t="inlineStr">
        <is>
          <t>CDR 6/02 - 6/16</t>
        </is>
      </c>
      <c r="T2" s="64" t="n">
        <v>19</v>
      </c>
      <c r="U2" s="46" t="n">
        <v>0</v>
      </c>
      <c r="V2" s="46" t="n">
        <v>8</v>
      </c>
      <c r="W2" s="46" t="n">
        <v>11</v>
      </c>
      <c r="X2" s="46" t="n">
        <v>0</v>
      </c>
      <c r="Y2" s="46" t="n">
        <v>0</v>
      </c>
      <c r="Z2" s="46" t="n">
        <v>8</v>
      </c>
      <c r="AA2" s="46" t="n">
        <v>11</v>
      </c>
      <c r="AB2" s="71" t="n">
        <v>0</v>
      </c>
      <c r="AC2" s="47">
        <f>X2/V2</f>
        <v/>
      </c>
      <c r="AD2" s="47" t="n">
        <v>0</v>
      </c>
      <c r="AE2" s="47" t="n">
        <v>0</v>
      </c>
      <c r="AF2" s="47" t="n">
        <v>0</v>
      </c>
      <c r="AG2" s="47" t="n">
        <v>0</v>
      </c>
    </row>
    <row r="3">
      <c r="B3" s="17" t="n"/>
      <c r="Q3" s="10" t="n"/>
      <c r="S3" s="37" t="inlineStr">
        <is>
          <t>CDR 6/16 - 6/30</t>
        </is>
      </c>
      <c r="T3" s="64" t="n">
        <v>22</v>
      </c>
      <c r="U3" s="46" t="n">
        <v>19</v>
      </c>
      <c r="V3" s="46" t="n">
        <v>11</v>
      </c>
      <c r="W3" s="46" t="n">
        <v>11</v>
      </c>
      <c r="X3" s="46" t="n">
        <v>0</v>
      </c>
      <c r="Y3" s="46" t="n">
        <v>0</v>
      </c>
      <c r="Z3" s="46" t="n">
        <v>2</v>
      </c>
      <c r="AA3" s="46" t="n">
        <v>0</v>
      </c>
      <c r="AB3" s="46" t="n">
        <v>19</v>
      </c>
      <c r="AC3" s="47">
        <f>X3/V3</f>
        <v/>
      </c>
      <c r="AD3" s="47">
        <f>Y3/U3</f>
        <v/>
      </c>
      <c r="AE3" s="47">
        <f>Z3/U3</f>
        <v/>
      </c>
      <c r="AF3" s="47">
        <f>AA3/U3</f>
        <v/>
      </c>
      <c r="AG3" s="47">
        <f>V3/U3</f>
        <v/>
      </c>
    </row>
    <row r="4">
      <c r="B4" s="17" t="n"/>
      <c r="Q4" s="10" t="n"/>
      <c r="S4" s="37" t="inlineStr">
        <is>
          <t>CDR 6/30 - 7/14</t>
        </is>
      </c>
      <c r="T4" s="64" t="n">
        <v>21</v>
      </c>
      <c r="U4" s="46" t="n">
        <v>16</v>
      </c>
      <c r="V4" s="46" t="n">
        <v>11</v>
      </c>
      <c r="W4" s="46" t="n">
        <v>10</v>
      </c>
      <c r="X4" s="46" t="n">
        <v>0</v>
      </c>
      <c r="Y4" s="46" t="n">
        <v>3</v>
      </c>
      <c r="Z4" s="46" t="n">
        <v>5</v>
      </c>
      <c r="AA4" s="46" t="n">
        <v>0</v>
      </c>
      <c r="AB4" s="46" t="n">
        <v>16</v>
      </c>
      <c r="AC4" s="47">
        <f>X4/V4</f>
        <v/>
      </c>
      <c r="AD4" s="47">
        <f>Y4/U4</f>
        <v/>
      </c>
      <c r="AE4" s="47">
        <f>Z4/U4</f>
        <v/>
      </c>
      <c r="AF4" s="47">
        <f>AA4/U4</f>
        <v/>
      </c>
      <c r="AG4" s="47">
        <f>V4/U4</f>
        <v/>
      </c>
    </row>
    <row r="5">
      <c r="B5" s="84" t="n"/>
      <c r="C5" s="86" t="n"/>
      <c r="D5" s="86" t="n"/>
      <c r="E5" s="86" t="n"/>
      <c r="F5" s="86" t="n"/>
      <c r="G5" s="86" t="n"/>
      <c r="H5" s="86" t="n"/>
      <c r="I5" s="86" t="n"/>
      <c r="J5" s="86" t="n"/>
      <c r="K5" s="86" t="n"/>
      <c r="L5" s="86" t="n"/>
      <c r="M5" s="86" t="n"/>
      <c r="N5" s="86" t="n"/>
      <c r="O5" s="86" t="n"/>
      <c r="P5" s="86" t="n"/>
      <c r="Q5" s="92" t="n"/>
      <c r="S5" s="37" t="inlineStr">
        <is>
          <t>CDR 7/15 - 7/28</t>
        </is>
      </c>
      <c r="T5" s="64" t="n">
        <v>24</v>
      </c>
      <c r="U5" s="46" t="n">
        <v>0</v>
      </c>
      <c r="V5" s="46" t="n">
        <v>18</v>
      </c>
      <c r="W5" s="46" t="n">
        <v>6</v>
      </c>
      <c r="X5" s="46" t="n">
        <v>11</v>
      </c>
      <c r="Y5" s="46" t="n">
        <v>3</v>
      </c>
      <c r="Z5" s="46" t="n">
        <v>18</v>
      </c>
      <c r="AA5" s="46" t="n">
        <v>6</v>
      </c>
      <c r="AB5" s="46" t="n">
        <v>0</v>
      </c>
      <c r="AC5" s="47">
        <f>X5/V5</f>
        <v/>
      </c>
      <c r="AD5" s="47">
        <f>Y5/U5</f>
        <v/>
      </c>
      <c r="AE5" s="47">
        <f>Z5/U5</f>
        <v/>
      </c>
      <c r="AF5" s="47">
        <f>AA5/U5</f>
        <v/>
      </c>
      <c r="AG5" s="47">
        <f>V5/U5</f>
        <v/>
      </c>
    </row>
    <row r="6" ht="15.75" customHeight="1">
      <c r="B6" s="85" t="n"/>
      <c r="C6" s="100" t="inlineStr">
        <is>
          <t>Project Name</t>
        </is>
      </c>
      <c r="D6" s="310" t="inlineStr">
        <is>
          <t>LendingTree</t>
        </is>
      </c>
      <c r="H6" s="310" t="n"/>
      <c r="I6" s="310" t="n"/>
      <c r="J6" s="88" t="n"/>
      <c r="K6" s="88" t="n"/>
      <c r="L6" s="307" t="inlineStr">
        <is>
          <t>Status Date</t>
        </is>
      </c>
      <c r="N6" s="312" t="inlineStr">
        <is>
          <t>27/12/2021</t>
        </is>
      </c>
      <c r="P6" s="87" t="n"/>
      <c r="Q6" s="93" t="n"/>
      <c r="S6" s="37" t="inlineStr">
        <is>
          <t>CDR 7/28 - 8/11</t>
        </is>
      </c>
      <c r="T6" s="64" t="n">
        <v>29</v>
      </c>
      <c r="U6" s="46" t="n">
        <v>18</v>
      </c>
      <c r="V6" s="46" t="n">
        <v>13</v>
      </c>
      <c r="W6" s="46" t="n">
        <v>5</v>
      </c>
      <c r="X6" s="46" t="n">
        <v>0</v>
      </c>
      <c r="Y6" s="46" t="n">
        <v>3</v>
      </c>
      <c r="Z6" s="46" t="n">
        <v>13</v>
      </c>
      <c r="AA6" s="46" t="n">
        <v>8</v>
      </c>
      <c r="AB6" s="46" t="n">
        <v>18</v>
      </c>
      <c r="AC6" s="47">
        <f>X6/V6</f>
        <v/>
      </c>
      <c r="AD6" s="47">
        <f>Y6/U6</f>
        <v/>
      </c>
      <c r="AE6" s="47">
        <f>Z6/U6</f>
        <v/>
      </c>
      <c r="AF6" s="47">
        <f>AA6/U6</f>
        <v/>
      </c>
      <c r="AG6" s="47">
        <f>V6/U6</f>
        <v/>
      </c>
    </row>
    <row r="7">
      <c r="B7" s="85" t="n"/>
      <c r="C7" s="100" t="inlineStr">
        <is>
          <t>Sub Project</t>
        </is>
      </c>
      <c r="D7" s="310" t="inlineStr">
        <is>
          <t>Consumer Distributed Retail</t>
        </is>
      </c>
      <c r="H7" s="101" t="n"/>
      <c r="I7" s="101" t="n"/>
      <c r="J7" s="89" t="n"/>
      <c r="K7" s="89" t="n"/>
      <c r="L7" s="90" t="n"/>
      <c r="M7" s="90" t="n"/>
      <c r="N7" s="90" t="n"/>
      <c r="O7" s="90" t="n"/>
      <c r="P7" s="87" t="n"/>
      <c r="Q7" s="93" t="n"/>
      <c r="S7" s="37" t="inlineStr">
        <is>
          <t>CDR 8/11 - 8/25</t>
        </is>
      </c>
      <c r="T7" s="64" t="n">
        <v>29</v>
      </c>
      <c r="U7" s="46" t="n">
        <v>21</v>
      </c>
      <c r="V7" s="46" t="n">
        <v>13</v>
      </c>
      <c r="W7" s="46" t="n">
        <v>16</v>
      </c>
      <c r="X7" s="46" t="n">
        <v>0</v>
      </c>
      <c r="Y7" s="46" t="n">
        <v>3</v>
      </c>
      <c r="Z7" s="46" t="n">
        <v>0</v>
      </c>
      <c r="AA7" s="46" t="n">
        <v>8</v>
      </c>
      <c r="AB7" s="46" t="n">
        <v>21</v>
      </c>
      <c r="AC7" s="47">
        <f>X7/V7</f>
        <v/>
      </c>
      <c r="AD7" s="47">
        <f>Y7/U7</f>
        <v/>
      </c>
      <c r="AE7" s="47">
        <f>Z7/U7</f>
        <v/>
      </c>
      <c r="AF7" s="47">
        <f>AA7/U7</f>
        <v/>
      </c>
      <c r="AG7" s="47">
        <f>V7/U7</f>
        <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S8" s="37" t="inlineStr">
        <is>
          <t>CDR 8/25 - 9/08</t>
        </is>
      </c>
      <c r="T8" s="64" t="n">
        <v>18</v>
      </c>
      <c r="U8" s="46" t="n">
        <v>16</v>
      </c>
      <c r="V8" s="46" t="n">
        <v>5</v>
      </c>
      <c r="W8" s="46" t="n">
        <v>15</v>
      </c>
      <c r="X8" s="46" t="n">
        <v>0</v>
      </c>
      <c r="Y8" s="46" t="n">
        <v>2</v>
      </c>
      <c r="Z8" s="46" t="n">
        <v>0</v>
      </c>
      <c r="AA8" s="46" t="n">
        <v>5</v>
      </c>
      <c r="AB8" s="46" t="n">
        <v>0</v>
      </c>
      <c r="AC8" s="47">
        <f>X8/V8</f>
        <v/>
      </c>
      <c r="AD8" s="47">
        <f>Y8/U8</f>
        <v/>
      </c>
      <c r="AE8" s="47">
        <f>Z8/U8</f>
        <v/>
      </c>
      <c r="AF8" s="47">
        <f>AA8/U8</f>
        <v/>
      </c>
      <c r="AG8" s="47">
        <f>V8/U8</f>
        <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CDR 9/08 - 9/22</t>
        </is>
      </c>
      <c r="T9" s="64" t="n">
        <v>15</v>
      </c>
      <c r="U9" s="46" t="n">
        <v>15</v>
      </c>
      <c r="V9" s="46" t="n">
        <v>9</v>
      </c>
      <c r="W9" s="46" t="n">
        <v>6</v>
      </c>
      <c r="X9" s="46" t="n">
        <v>0</v>
      </c>
      <c r="Y9" s="46" t="n">
        <v>2</v>
      </c>
      <c r="Z9" s="46" t="n">
        <v>0</v>
      </c>
      <c r="AA9" s="46" t="n">
        <v>6</v>
      </c>
      <c r="AB9" s="46" t="n">
        <v>15</v>
      </c>
      <c r="AC9" s="47">
        <f>X9/V9</f>
        <v/>
      </c>
      <c r="AD9" s="47">
        <f>Y9/U9</f>
        <v/>
      </c>
      <c r="AE9" s="47">
        <f>Z9/U9</f>
        <v/>
      </c>
      <c r="AF9" s="47">
        <f>AA9/U9</f>
        <v/>
      </c>
      <c r="AG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CDR 9/22 - 10/06</t>
        </is>
      </c>
      <c r="T10" s="64" t="n">
        <v>19</v>
      </c>
      <c r="U10" s="46" t="n">
        <v>18</v>
      </c>
      <c r="V10" s="46" t="n">
        <v>5</v>
      </c>
      <c r="W10" s="46" t="n">
        <v>26</v>
      </c>
      <c r="X10" s="46" t="n">
        <v>0</v>
      </c>
      <c r="Y10" s="46" t="n">
        <v>0</v>
      </c>
      <c r="Z10" s="46" t="n">
        <v>3</v>
      </c>
      <c r="AA10" s="46" t="n">
        <v>10</v>
      </c>
      <c r="AB10" s="46" t="n">
        <v>18</v>
      </c>
      <c r="AC10" s="47">
        <f>X10/V10</f>
        <v/>
      </c>
      <c r="AD10" s="47">
        <f>Y10/U10</f>
        <v/>
      </c>
      <c r="AE10" s="47">
        <f>Z10/U10</f>
        <v/>
      </c>
      <c r="AF10" s="47">
        <f>AA10/U10</f>
        <v/>
      </c>
      <c r="AG10" s="47">
        <f>V10/U10</f>
        <v/>
      </c>
    </row>
    <row r="11">
      <c r="B11" s="85" t="n"/>
      <c r="C11" s="100" t="inlineStr">
        <is>
          <t>Client Feedback</t>
        </is>
      </c>
      <c r="D11" s="310" t="inlineStr">
        <is>
          <t>-</t>
        </is>
      </c>
      <c r="H11" s="87" t="n"/>
      <c r="I11" s="87" t="n"/>
      <c r="J11" s="90" t="n"/>
      <c r="K11" s="90" t="n"/>
      <c r="L11" s="90" t="n"/>
      <c r="M11" s="90" t="n"/>
      <c r="N11" s="90" t="n"/>
      <c r="O11" s="90" t="n"/>
      <c r="P11" s="87" t="n"/>
      <c r="Q11" s="93" t="n"/>
      <c r="S11" s="37" t="inlineStr">
        <is>
          <t>CDR 10/06 - 10/20</t>
        </is>
      </c>
      <c r="T11" s="64" t="n">
        <v>19</v>
      </c>
      <c r="U11" s="46" t="n">
        <v>18</v>
      </c>
      <c r="V11" s="46" t="n">
        <v>5</v>
      </c>
      <c r="W11" s="46" t="n">
        <v>26</v>
      </c>
      <c r="X11" s="46" t="n">
        <v>0</v>
      </c>
      <c r="Y11" s="46" t="n">
        <v>0</v>
      </c>
      <c r="Z11" s="46" t="n">
        <v>3</v>
      </c>
      <c r="AA11" s="46" t="n">
        <v>10</v>
      </c>
      <c r="AB11" s="46" t="n">
        <v>18</v>
      </c>
      <c r="AC11" s="47">
        <f>X11/V11</f>
        <v/>
      </c>
      <c r="AD11" s="47">
        <f>Y11/U11</f>
        <v/>
      </c>
      <c r="AE11" s="47">
        <f>Z11/U11</f>
        <v/>
      </c>
      <c r="AF11" s="47">
        <f>AA11/U11</f>
        <v/>
      </c>
      <c r="AG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CDR 10/20 - 11/01</t>
        </is>
      </c>
      <c r="T12" s="64" t="n">
        <v>19</v>
      </c>
      <c r="U12" s="46" t="n">
        <v>18</v>
      </c>
      <c r="V12" s="46" t="n">
        <v>5</v>
      </c>
      <c r="W12" s="46" t="n">
        <v>26</v>
      </c>
      <c r="X12" s="46" t="n">
        <v>0</v>
      </c>
      <c r="Y12" s="46" t="n">
        <v>0</v>
      </c>
      <c r="Z12" s="46" t="n">
        <v>3</v>
      </c>
      <c r="AA12" s="46" t="n">
        <v>10</v>
      </c>
      <c r="AB12" s="46" t="n">
        <v>18</v>
      </c>
      <c r="AC12" s="47">
        <f>X12/V12</f>
        <v/>
      </c>
      <c r="AD12" s="47">
        <f>Y12/U12</f>
        <v/>
      </c>
      <c r="AE12" s="47">
        <f>Z12/U12</f>
        <v/>
      </c>
      <c r="AF12" s="47">
        <f>AA12/U12</f>
        <v/>
      </c>
      <c r="AG12" s="47">
        <f>V12/U12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CDR 11/03 - 11/17</t>
        </is>
      </c>
      <c r="T13" s="64" t="n">
        <v>30</v>
      </c>
      <c r="U13" s="46" t="n">
        <v>30</v>
      </c>
      <c r="V13" s="46" t="n">
        <v>12</v>
      </c>
      <c r="W13" s="46" t="n">
        <v>18</v>
      </c>
      <c r="X13" s="46" t="n">
        <v>2</v>
      </c>
      <c r="Y13" s="46" t="n">
        <v>0</v>
      </c>
      <c r="Z13" s="46" t="n">
        <v>0</v>
      </c>
      <c r="AA13" s="46" t="n">
        <v>0</v>
      </c>
      <c r="AB13" s="46" t="n">
        <v>30</v>
      </c>
      <c r="AC13" s="47">
        <f>X13/V13</f>
        <v/>
      </c>
      <c r="AD13" s="47">
        <f>Y13/U13</f>
        <v/>
      </c>
      <c r="AE13" s="47">
        <f>Z13/U13</f>
        <v/>
      </c>
      <c r="AF13" s="47">
        <f>AA13/U13</f>
        <v/>
      </c>
      <c r="AG13" s="47">
        <f>V13/U13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CDR 11/17 - 12/01</t>
        </is>
      </c>
      <c r="T14" s="64" t="n">
        <v>14</v>
      </c>
      <c r="U14" s="46" t="n">
        <v>14</v>
      </c>
      <c r="V14" s="46" t="n">
        <v>3</v>
      </c>
      <c r="W14" s="46" t="n">
        <v>11</v>
      </c>
      <c r="X14" s="46" t="n">
        <v>0</v>
      </c>
      <c r="Y14" s="46" t="n">
        <v>0</v>
      </c>
      <c r="Z14" s="46" t="n">
        <v>0</v>
      </c>
      <c r="AA14" s="46" t="n">
        <v>0</v>
      </c>
      <c r="AB14" s="46" t="n">
        <v>14</v>
      </c>
      <c r="AC14" s="47">
        <f>X14/V14</f>
        <v/>
      </c>
      <c r="AD14" s="47">
        <f>Y14/U14</f>
        <v/>
      </c>
      <c r="AE14" s="47">
        <f>Z14/U14</f>
        <v/>
      </c>
      <c r="AF14" s="47">
        <f>AA14/U14</f>
        <v/>
      </c>
      <c r="AG14" s="47">
        <f>V14/U14</f>
        <v/>
      </c>
    </row>
    <row r="15">
      <c r="B15" s="94" t="n"/>
      <c r="C15" s="95" t="n"/>
      <c r="D15" s="96" t="n"/>
      <c r="E15" s="96" t="n"/>
      <c r="F15" s="96" t="n"/>
      <c r="G15" s="96" t="n"/>
      <c r="H15" s="96" t="n"/>
      <c r="I15" s="96" t="n"/>
      <c r="J15" s="96" t="n"/>
      <c r="K15" s="96" t="n"/>
      <c r="L15" s="96" t="n"/>
      <c r="M15" s="96" t="n"/>
      <c r="N15" s="97" t="n"/>
      <c r="O15" s="98" t="n"/>
      <c r="P15" s="98" t="n"/>
      <c r="Q15" s="99" t="n"/>
      <c r="S15" s="37" t="inlineStr">
        <is>
          <t>CDR 12/01 - 12/15</t>
        </is>
      </c>
      <c r="T15" s="64" t="n">
        <v>15</v>
      </c>
      <c r="U15" s="46" t="n">
        <v>16</v>
      </c>
      <c r="V15" s="46" t="n">
        <v>9</v>
      </c>
      <c r="W15" s="46" t="n">
        <v>7</v>
      </c>
      <c r="X15" s="46" t="n">
        <v>0</v>
      </c>
      <c r="Y15" s="46" t="n">
        <v>3</v>
      </c>
      <c r="Z15" s="46" t="n">
        <v>0</v>
      </c>
      <c r="AA15" s="46" t="n">
        <v>0</v>
      </c>
      <c r="AB15" s="46" t="n">
        <v>16</v>
      </c>
      <c r="AC15" s="47">
        <f>X15/V15</f>
        <v/>
      </c>
      <c r="AD15" s="47">
        <f>Y15/U15</f>
        <v/>
      </c>
      <c r="AE15" s="47">
        <f>Z15/U15</f>
        <v/>
      </c>
      <c r="AF15" s="47">
        <f>AA15/U15</f>
        <v/>
      </c>
      <c r="AG15" s="47">
        <f>V15/U15</f>
        <v/>
      </c>
    </row>
    <row r="16">
      <c r="S16" s="37" t="inlineStr">
        <is>
          <t>CDR 12/15 - 12/29</t>
        </is>
      </c>
      <c r="T16" s="64" t="n">
        <v>21</v>
      </c>
      <c r="U16" s="46" t="n">
        <v>7</v>
      </c>
      <c r="V16" s="46" t="n">
        <v>3</v>
      </c>
      <c r="W16" s="46" t="n">
        <v>4</v>
      </c>
      <c r="X16" s="46" t="n">
        <v>0</v>
      </c>
      <c r="Y16" s="46" t="n">
        <v>0</v>
      </c>
      <c r="Z16" s="46" t="n">
        <v>6</v>
      </c>
      <c r="AA16" s="46" t="n">
        <v>8</v>
      </c>
      <c r="AB16" s="46" t="n">
        <v>18</v>
      </c>
      <c r="AC16" s="47">
        <f>X16/V16</f>
        <v/>
      </c>
      <c r="AD16" s="47">
        <f>Y16/U16</f>
        <v/>
      </c>
      <c r="AE16" s="47">
        <f>Z16/U16</f>
        <v/>
      </c>
      <c r="AF16" s="47">
        <f>AA16/U16</f>
        <v/>
      </c>
      <c r="AG16" s="47">
        <f>V16/U16</f>
        <v/>
      </c>
    </row>
    <row r="17">
      <c r="S17" s="37" t="inlineStr">
        <is>
          <t>CDR 12/29 - 12/01</t>
        </is>
      </c>
      <c r="T17" s="64" t="n"/>
      <c r="U17" s="46" t="n"/>
      <c r="V17" s="46" t="n"/>
      <c r="W17" s="46" t="n">
        <v>7</v>
      </c>
      <c r="X17" s="46" t="n">
        <v>0</v>
      </c>
      <c r="Y17" s="46" t="n">
        <v>3</v>
      </c>
      <c r="Z17" s="46" t="n">
        <v>0</v>
      </c>
      <c r="AA17" s="46" t="n">
        <v>0</v>
      </c>
      <c r="AB17" s="46" t="n">
        <v>16</v>
      </c>
      <c r="AC17" s="47">
        <f>X17/V17</f>
        <v/>
      </c>
      <c r="AD17" s="47">
        <f>Y17/U17</f>
        <v/>
      </c>
      <c r="AE17" s="47">
        <f>Z17/U17</f>
        <v/>
      </c>
      <c r="AF17" s="47">
        <f>AA17/U17</f>
        <v/>
      </c>
      <c r="AG17" s="47">
        <f>V17/U17</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AV64"/>
  <sheetViews>
    <sheetView showGridLines="0" topLeftCell="T1" zoomScale="70" zoomScaleNormal="70" workbookViewId="0">
      <pane ySplit="1" topLeftCell="A58" activePane="bottomLeft" state="frozen"/>
      <selection pane="bottomLeft" activeCell="U61" sqref="U61"/>
      <selection activeCell="W1" sqref="W1"/>
    </sheetView>
  </sheetViews>
  <sheetFormatPr baseColWidth="8" defaultRowHeight="15"/>
  <cols>
    <col width="20.85546875" bestFit="1" customWidth="1" min="3" max="3"/>
    <col width="24.28515625" bestFit="1" customWidth="1" style="19" min="20" max="20"/>
    <col width="19" customWidth="1" style="48" min="21" max="21"/>
    <col width="21" bestFit="1" customWidth="1" style="48" min="22" max="22"/>
    <col width="9.140625" customWidth="1" style="48" min="23" max="24"/>
    <col width="13" customWidth="1" style="48" min="25" max="25"/>
    <col width="16.5703125" bestFit="1" customWidth="1" style="48" min="26" max="26"/>
    <col width="12.28515625" bestFit="1" customWidth="1" style="48" min="27" max="27"/>
    <col width="11.85546875" bestFit="1" customWidth="1" style="48" min="28" max="28"/>
    <col width="10.28515625" bestFit="1" customWidth="1" style="48" min="29" max="29"/>
    <col width="19" customWidth="1" style="48" min="30" max="30"/>
    <col width="15.5703125" customWidth="1" style="48" min="31" max="31"/>
    <col width="18.5703125" bestFit="1" customWidth="1" style="48" min="32" max="32"/>
    <col width="22.7109375" bestFit="1" customWidth="1" style="48" min="33" max="33"/>
    <col width="20.28515625" customWidth="1" style="19" min="34" max="34"/>
    <col width="14.28515625" bestFit="1" customWidth="1" min="36" max="36"/>
    <col width="28.5703125" bestFit="1" customWidth="1" min="37" max="37"/>
    <col width="28.140625" bestFit="1" customWidth="1" min="38" max="38"/>
    <col width="14.28515625" bestFit="1" customWidth="1" min="40" max="40"/>
    <col width="33.42578125" bestFit="1" customWidth="1" min="41" max="41"/>
    <col width="30.28515625" bestFit="1" customWidth="1" min="42" max="42"/>
  </cols>
  <sheetData>
    <row r="1" ht="15.75" customHeight="1" thickBot="1">
      <c r="T1" s="40" t="inlineStr">
        <is>
          <t>Week Starting On</t>
        </is>
      </c>
      <c r="U1" s="44" t="inlineStr">
        <is>
          <t>Planned Story Points</t>
        </is>
      </c>
      <c r="V1" s="44" t="inlineStr">
        <is>
          <t>Actaul  Delivered</t>
        </is>
      </c>
      <c r="W1" s="44" t="inlineStr">
        <is>
          <t>V2</t>
        </is>
      </c>
      <c r="X1" s="44" t="inlineStr">
        <is>
          <t>LT</t>
        </is>
      </c>
      <c r="Y1" s="44" t="inlineStr">
        <is>
          <t>Rework V2</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QA Passed</t>
        </is>
      </c>
      <c r="AP1" s="137" t="n"/>
      <c r="AQ1" s="137" t="n"/>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2020: SC 4.1</t>
        </is>
      </c>
      <c r="U2" s="46">
        <f>(V2+AA2+AB2)</f>
        <v/>
      </c>
      <c r="V2" s="46" t="n">
        <v>46</v>
      </c>
      <c r="W2" s="46" t="n">
        <v>13</v>
      </c>
      <c r="X2" s="46" t="n">
        <v>33</v>
      </c>
      <c r="Y2" s="46" t="n">
        <v>2</v>
      </c>
      <c r="Z2" s="46" t="n">
        <v>12</v>
      </c>
      <c r="AA2" s="46" t="n">
        <v>2</v>
      </c>
      <c r="AB2" s="46" t="n">
        <v>0</v>
      </c>
      <c r="AC2" s="46">
        <f>W2-Y2</f>
        <v/>
      </c>
      <c r="AD2" s="47">
        <f>Y2/W2</f>
        <v/>
      </c>
      <c r="AE2" s="47">
        <f>Z2/X2</f>
        <v/>
      </c>
      <c r="AF2" s="47">
        <f>AA2/W2</f>
        <v/>
      </c>
      <c r="AG2" s="47">
        <f>AB2/X2</f>
        <v/>
      </c>
      <c r="AH2" s="53">
        <f>V2/U2</f>
        <v/>
      </c>
      <c r="AJ2" s="2" t="n">
        <v>1</v>
      </c>
      <c r="AN2" s="2" t="inlineStr">
        <is>
          <t>2021: SC 8.2</t>
        </is>
      </c>
      <c r="AO2" t="n">
        <v>0</v>
      </c>
      <c r="AP2" s="137" t="n"/>
      <c r="AV2" t="inlineStr">
        <is>
          <t>Green</t>
        </is>
      </c>
    </row>
    <row r="3">
      <c r="B3" s="17" t="n"/>
      <c r="Q3" s="10" t="n"/>
      <c r="T3" s="37" t="inlineStr">
        <is>
          <t>2020: SC 4.2</t>
        </is>
      </c>
      <c r="U3" s="46">
        <f>(V3+AA3+AB3)</f>
        <v/>
      </c>
      <c r="V3" s="46" t="n">
        <v>34</v>
      </c>
      <c r="W3" s="46" t="n">
        <v>12</v>
      </c>
      <c r="X3" s="46" t="n">
        <v>22</v>
      </c>
      <c r="Y3" s="46" t="n">
        <v>8</v>
      </c>
      <c r="Z3" s="46" t="n">
        <v>1</v>
      </c>
      <c r="AA3" s="46" t="n">
        <v>0</v>
      </c>
      <c r="AB3" s="46" t="n">
        <v>5</v>
      </c>
      <c r="AC3" s="46">
        <f>W3-Y3</f>
        <v/>
      </c>
      <c r="AD3" s="47">
        <f>Y3/W3</f>
        <v/>
      </c>
      <c r="AE3" s="47">
        <f>Z3/X3</f>
        <v/>
      </c>
      <c r="AF3" s="47">
        <f>AA3/W3</f>
        <v/>
      </c>
      <c r="AG3" s="47">
        <f>AB3/X3</f>
        <v/>
      </c>
      <c r="AH3" s="53">
        <f>V3/U3</f>
        <v/>
      </c>
      <c r="AJ3" s="2" t="n">
        <v>2</v>
      </c>
      <c r="AN3" s="2" t="inlineStr">
        <is>
          <t>2021: SC 9.1</t>
        </is>
      </c>
      <c r="AO3" t="n">
        <v>10</v>
      </c>
      <c r="AV3" t="inlineStr">
        <is>
          <t>Red</t>
        </is>
      </c>
    </row>
    <row r="4">
      <c r="B4" s="17" t="n"/>
      <c r="Q4" s="10" t="n"/>
      <c r="T4" s="37" t="inlineStr">
        <is>
          <t>2020: SC 5.1</t>
        </is>
      </c>
      <c r="U4" s="46">
        <f>(V4+AA4+AB4)</f>
        <v/>
      </c>
      <c r="V4" s="46" t="n">
        <v>51</v>
      </c>
      <c r="W4" s="46" t="n">
        <v>17</v>
      </c>
      <c r="X4" s="46" t="n">
        <v>34</v>
      </c>
      <c r="Y4" s="46" t="n">
        <v>6</v>
      </c>
      <c r="Z4" s="46" t="n">
        <v>11</v>
      </c>
      <c r="AA4" s="46" t="n">
        <v>0</v>
      </c>
      <c r="AB4" s="46" t="n">
        <v>9</v>
      </c>
      <c r="AC4" s="46">
        <f>W4-Y4</f>
        <v/>
      </c>
      <c r="AD4" s="47">
        <f>Y4/W4</f>
        <v/>
      </c>
      <c r="AE4" s="47">
        <f>Z4/X4</f>
        <v/>
      </c>
      <c r="AF4" s="47">
        <f>AA4/W4</f>
        <v/>
      </c>
      <c r="AG4" s="47">
        <f>AB4/X4</f>
        <v/>
      </c>
      <c r="AH4" s="53">
        <f>V4/U4</f>
        <v/>
      </c>
      <c r="AJ4" s="2" t="n">
        <v>3</v>
      </c>
      <c r="AN4" s="2" t="inlineStr">
        <is>
          <t>2021: SC 9.2</t>
        </is>
      </c>
      <c r="AO4" t="n">
        <v>9</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2020: SC 5.2</t>
        </is>
      </c>
      <c r="U5" s="46">
        <f>(V5+AA5+AB5)</f>
        <v/>
      </c>
      <c r="V5" s="46" t="n">
        <v>43</v>
      </c>
      <c r="W5" s="46" t="n">
        <v>17</v>
      </c>
      <c r="X5" s="46" t="n">
        <v>26</v>
      </c>
      <c r="Y5" s="46" t="n">
        <v>9</v>
      </c>
      <c r="Z5" s="46" t="n">
        <v>9</v>
      </c>
      <c r="AA5" s="46" t="n">
        <v>9</v>
      </c>
      <c r="AB5" s="46" t="n">
        <v>0</v>
      </c>
      <c r="AC5" s="46">
        <f>W5-Y5</f>
        <v/>
      </c>
      <c r="AD5" s="47">
        <f>Y5/W5</f>
        <v/>
      </c>
      <c r="AE5" s="47">
        <f>Z5/X5</f>
        <v/>
      </c>
      <c r="AF5" s="47">
        <f>AA5/W5</f>
        <v/>
      </c>
      <c r="AG5" s="47">
        <f>AB5/X5</f>
        <v/>
      </c>
      <c r="AH5" s="53">
        <f>V5/U5</f>
        <v/>
      </c>
      <c r="AJ5" s="2" t="n">
        <v>5</v>
      </c>
      <c r="AN5" s="2" t="inlineStr">
        <is>
          <t>2021: SC 9.3</t>
        </is>
      </c>
      <c r="AO5" t="n">
        <v>9</v>
      </c>
    </row>
    <row r="6" ht="15.75" customHeight="1">
      <c r="B6" s="85" t="n"/>
      <c r="C6" s="100" t="inlineStr">
        <is>
          <t>Project Name</t>
        </is>
      </c>
      <c r="D6" s="310" t="inlineStr">
        <is>
          <t>LendingTree</t>
        </is>
      </c>
      <c r="H6" s="310" t="n"/>
      <c r="I6" s="310" t="n"/>
      <c r="J6" s="88" t="n"/>
      <c r="K6" s="88" t="n"/>
      <c r="L6" s="313" t="inlineStr">
        <is>
          <t>Status Date</t>
        </is>
      </c>
      <c r="N6" s="312" t="n">
        <v>44684</v>
      </c>
      <c r="P6" s="87" t="n"/>
      <c r="Q6" s="93" t="n"/>
      <c r="T6" s="37" t="inlineStr">
        <is>
          <t>2020: SC 6.1</t>
        </is>
      </c>
      <c r="U6" s="46">
        <f>(V6+AA6+AB6)</f>
        <v/>
      </c>
      <c r="V6" s="46" t="n">
        <v>29</v>
      </c>
      <c r="W6" s="46" t="n">
        <v>14</v>
      </c>
      <c r="X6" s="46" t="n">
        <v>15</v>
      </c>
      <c r="Y6" s="46" t="n">
        <v>15</v>
      </c>
      <c r="Z6" s="46" t="n">
        <v>7</v>
      </c>
      <c r="AA6" s="46" t="n">
        <v>3</v>
      </c>
      <c r="AB6" s="46" t="n">
        <v>0</v>
      </c>
      <c r="AC6" s="46">
        <f>W6-Y6</f>
        <v/>
      </c>
      <c r="AD6" s="47">
        <f>Y6/W6</f>
        <v/>
      </c>
      <c r="AE6" s="47">
        <f>Z6/X6</f>
        <v/>
      </c>
      <c r="AF6" s="47">
        <f>AA6/W6</f>
        <v/>
      </c>
      <c r="AG6" s="47">
        <f>AB6/X6</f>
        <v/>
      </c>
      <c r="AH6" s="53">
        <f>V6/U6</f>
        <v/>
      </c>
      <c r="AN6" s="2" t="inlineStr">
        <is>
          <t>2021: SC 10.1</t>
        </is>
      </c>
      <c r="AO6" t="n">
        <v>6</v>
      </c>
    </row>
    <row r="7">
      <c r="B7" s="85" t="n"/>
      <c r="C7" s="100" t="inlineStr">
        <is>
          <t>Sub Project</t>
        </is>
      </c>
      <c r="D7" s="310" t="inlineStr">
        <is>
          <t>Snapcap</t>
        </is>
      </c>
      <c r="H7" s="101" t="n"/>
      <c r="I7" s="101" t="n"/>
      <c r="J7" s="89" t="n"/>
      <c r="K7" s="89" t="n"/>
      <c r="L7" s="138" t="n"/>
      <c r="M7" s="138" t="n"/>
      <c r="N7" s="90" t="n"/>
      <c r="O7" s="90" t="n"/>
      <c r="P7" s="87" t="n"/>
      <c r="Q7" s="93" t="n"/>
      <c r="T7" s="37" t="inlineStr">
        <is>
          <t>2020: SC 6.2</t>
        </is>
      </c>
      <c r="U7" s="46">
        <f>(V7+AA7+AB7)</f>
        <v/>
      </c>
      <c r="V7" s="46" t="n">
        <v>52</v>
      </c>
      <c r="W7" s="46" t="n">
        <v>11</v>
      </c>
      <c r="X7" s="46" t="n">
        <v>41</v>
      </c>
      <c r="Y7" s="46" t="n">
        <v>3</v>
      </c>
      <c r="Z7" s="46" t="n">
        <v>15</v>
      </c>
      <c r="AA7" s="46" t="n">
        <v>0</v>
      </c>
      <c r="AB7" s="46" t="n">
        <v>3</v>
      </c>
      <c r="AC7" s="46">
        <f>W7-Y7</f>
        <v/>
      </c>
      <c r="AD7" s="47">
        <f>Y7/W7</f>
        <v/>
      </c>
      <c r="AE7" s="47">
        <f>Z7/X7</f>
        <v/>
      </c>
      <c r="AF7" s="47">
        <f>AA7/W7</f>
        <v/>
      </c>
      <c r="AG7" s="47">
        <f>AB7/X7</f>
        <v/>
      </c>
      <c r="AH7" s="53">
        <f>V7/U7</f>
        <v/>
      </c>
      <c r="AN7" s="2" t="inlineStr">
        <is>
          <t>2021: SC 10.2</t>
        </is>
      </c>
      <c r="AO7" t="n">
        <v>13</v>
      </c>
    </row>
    <row r="8" ht="15.75" customHeight="1">
      <c r="B8" s="85" t="n"/>
      <c r="C8" s="100" t="inlineStr">
        <is>
          <t>Delivery Manager</t>
        </is>
      </c>
      <c r="D8" s="310" t="inlineStr">
        <is>
          <t>Mamatha</t>
        </is>
      </c>
      <c r="H8" s="87" t="n"/>
      <c r="I8" s="87" t="n"/>
      <c r="J8" s="87" t="n"/>
      <c r="K8" s="87" t="n"/>
      <c r="L8" s="313" t="inlineStr">
        <is>
          <t>Overall Status</t>
        </is>
      </c>
      <c r="N8" s="103" t="inlineStr">
        <is>
          <t>Green</t>
        </is>
      </c>
      <c r="O8" s="90" t="n"/>
      <c r="P8" s="87" t="n"/>
      <c r="Q8" s="93" t="n"/>
      <c r="T8" s="37" t="inlineStr">
        <is>
          <t>2020: SC 7.1</t>
        </is>
      </c>
      <c r="U8" s="46">
        <f>(V8+AA8+AB8)</f>
        <v/>
      </c>
      <c r="V8" s="46" t="n">
        <v>44</v>
      </c>
      <c r="W8" s="46" t="n">
        <v>12</v>
      </c>
      <c r="X8" s="46" t="n">
        <v>32</v>
      </c>
      <c r="Y8" s="46" t="n">
        <v>3</v>
      </c>
      <c r="Z8" s="46" t="n">
        <v>12</v>
      </c>
      <c r="AA8" s="46" t="n">
        <v>6</v>
      </c>
      <c r="AB8" s="46" t="n">
        <v>0</v>
      </c>
      <c r="AC8" s="46">
        <f>W8-Y8</f>
        <v/>
      </c>
      <c r="AD8" s="47">
        <f>Y8/W8</f>
        <v/>
      </c>
      <c r="AE8" s="47">
        <f>Z8/X8</f>
        <v/>
      </c>
      <c r="AF8" s="47">
        <f>AA8/W8</f>
        <v/>
      </c>
      <c r="AG8" s="47">
        <f>AB8/X8</f>
        <v/>
      </c>
      <c r="AH8" s="53">
        <f>V8/U8</f>
        <v/>
      </c>
      <c r="AN8" s="2" t="inlineStr">
        <is>
          <t>Grand Total</t>
        </is>
      </c>
      <c r="AO8" t="n">
        <v>47</v>
      </c>
    </row>
    <row r="9">
      <c r="B9" s="85" t="n"/>
      <c r="C9" s="100" t="inlineStr">
        <is>
          <t>Project Manager/Lead</t>
        </is>
      </c>
      <c r="D9" s="310" t="inlineStr">
        <is>
          <t>Jayant</t>
        </is>
      </c>
      <c r="H9" s="87" t="n"/>
      <c r="I9" s="87" t="n"/>
      <c r="J9" s="87" t="n"/>
      <c r="K9" s="87" t="n"/>
      <c r="L9" s="87" t="n"/>
      <c r="M9" s="87" t="n"/>
      <c r="N9" s="87" t="n"/>
      <c r="O9" s="87" t="n"/>
      <c r="P9" s="87" t="n"/>
      <c r="Q9" s="93" t="n"/>
      <c r="T9" s="37" t="inlineStr">
        <is>
          <t>2020: SC 7.2</t>
        </is>
      </c>
      <c r="U9" s="46">
        <f>(V9+AA9+AB9)</f>
        <v/>
      </c>
      <c r="V9" s="46" t="n">
        <v>54</v>
      </c>
      <c r="W9" s="46" t="n">
        <v>10</v>
      </c>
      <c r="X9" s="46" t="n">
        <v>44</v>
      </c>
      <c r="Y9" s="46" t="n">
        <v>5</v>
      </c>
      <c r="Z9" s="46" t="n">
        <v>9</v>
      </c>
      <c r="AA9" s="46" t="n">
        <v>0</v>
      </c>
      <c r="AB9" s="46" t="n">
        <v>0</v>
      </c>
      <c r="AC9" s="46">
        <f>W9-Y9</f>
        <v/>
      </c>
      <c r="AD9" s="47">
        <f>Y9/W9</f>
        <v/>
      </c>
      <c r="AE9" s="47">
        <f>Z9/X9</f>
        <v/>
      </c>
      <c r="AF9" s="47">
        <f>AA9/W9</f>
        <v/>
      </c>
      <c r="AG9" s="47">
        <f>AB9/X9</f>
        <v/>
      </c>
      <c r="AH9" s="53">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42" t="inlineStr">
        <is>
          <t>2020: SC 7.3</t>
        </is>
      </c>
      <c r="U10" s="46">
        <f>(V10+AA10+AB10)</f>
        <v/>
      </c>
      <c r="V10" s="46" t="n">
        <v>30</v>
      </c>
      <c r="W10" s="46" t="n">
        <v>9</v>
      </c>
      <c r="X10" s="46">
        <f>V10-W10</f>
        <v/>
      </c>
      <c r="Y10" s="46" t="n">
        <v>5</v>
      </c>
      <c r="Z10" s="46" t="n">
        <v>15</v>
      </c>
      <c r="AA10" s="46" t="n">
        <v>0</v>
      </c>
      <c r="AB10" s="46" t="n">
        <v>6</v>
      </c>
      <c r="AC10" s="46">
        <f>W10-Y10</f>
        <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42" t="inlineStr">
        <is>
          <t>2020: SC 8.1</t>
        </is>
      </c>
      <c r="U11" s="46">
        <f>(V11+AA11+AB11)</f>
        <v/>
      </c>
      <c r="V11" s="46" t="n">
        <v>49</v>
      </c>
      <c r="W11" s="46" t="n">
        <v>17</v>
      </c>
      <c r="X11" s="46">
        <f>V11-W11</f>
        <v/>
      </c>
      <c r="Y11" s="46" t="n">
        <v>6</v>
      </c>
      <c r="Z11" s="46" t="n">
        <v>14</v>
      </c>
      <c r="AA11" s="46" t="n">
        <v>0</v>
      </c>
      <c r="AB11" s="46" t="n">
        <v>5</v>
      </c>
      <c r="AC11" s="46">
        <f>W11-Y11</f>
        <v/>
      </c>
      <c r="AD11" s="47">
        <f>Y11/W11</f>
        <v/>
      </c>
      <c r="AE11" s="47">
        <f>Z11/X11</f>
        <v/>
      </c>
      <c r="AF11" s="47">
        <f>AA11/W11</f>
        <v/>
      </c>
      <c r="AG11" s="47">
        <f>AB11/X11</f>
        <v/>
      </c>
      <c r="AH11" s="53">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42" t="inlineStr">
        <is>
          <t>2020: SC 8.2</t>
        </is>
      </c>
      <c r="U12" s="46">
        <f>(V12+AA12+AB12)</f>
        <v/>
      </c>
      <c r="V12" s="46" t="n">
        <v>55</v>
      </c>
      <c r="W12" s="46" t="n">
        <v>32</v>
      </c>
      <c r="X12" s="46">
        <f>V12-W12</f>
        <v/>
      </c>
      <c r="Y12" s="46" t="n">
        <v>11</v>
      </c>
      <c r="Z12" s="46" t="n">
        <v>11</v>
      </c>
      <c r="AA12" s="46" t="n">
        <v>1</v>
      </c>
      <c r="AB12" s="46" t="n">
        <v>3</v>
      </c>
      <c r="AC12" s="46">
        <f>W12-Y12</f>
        <v/>
      </c>
      <c r="AD12" s="47">
        <f>Y12/W12</f>
        <v/>
      </c>
      <c r="AE12" s="47">
        <f>Z12/X12</f>
        <v/>
      </c>
      <c r="AF12" s="47">
        <f>AA12/W12</f>
        <v/>
      </c>
      <c r="AG12" s="47">
        <f>AB12/X12</f>
        <v/>
      </c>
      <c r="AH12" s="53">
        <f>V12/U12</f>
        <v/>
      </c>
      <c r="AJ12" s="14" t="inlineStr">
        <is>
          <t>Sprint</t>
        </is>
      </c>
      <c r="AK12" s="15" t="inlineStr">
        <is>
          <t>V2 (1 dev)</t>
        </is>
      </c>
      <c r="AL12" s="16" t="inlineStr">
        <is>
          <t>LT (2 dev)</t>
        </is>
      </c>
      <c r="AN12" s="5" t="inlineStr">
        <is>
          <t>QA Passed</t>
        </is>
      </c>
      <c r="AO12" s="6">
        <f>AO8</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42" t="inlineStr">
        <is>
          <t>2020: SC 9.1</t>
        </is>
      </c>
      <c r="U13" s="46">
        <f>(V13+AA13+AB13)</f>
        <v/>
      </c>
      <c r="V13" s="46" t="n">
        <v>58</v>
      </c>
      <c r="W13" s="46" t="n">
        <v>34</v>
      </c>
      <c r="X13" s="46">
        <f>V13-W13</f>
        <v/>
      </c>
      <c r="Y13" s="46" t="n">
        <v>10</v>
      </c>
      <c r="Z13" s="46" t="n">
        <v>20</v>
      </c>
      <c r="AA13" s="46" t="n">
        <v>0</v>
      </c>
      <c r="AB13" s="46" t="n">
        <v>3</v>
      </c>
      <c r="AC13" s="46">
        <f>W13-Y13</f>
        <v/>
      </c>
      <c r="AD13" s="47">
        <f>Y13/W13</f>
        <v/>
      </c>
      <c r="AE13" s="47">
        <f>Z13/X13</f>
        <v/>
      </c>
      <c r="AF13" s="47">
        <f>AA13/W13</f>
        <v/>
      </c>
      <c r="AG13" s="47">
        <f>AB13/X13</f>
        <v/>
      </c>
      <c r="AH13" s="53">
        <f>V13/U13</f>
        <v/>
      </c>
      <c r="AJ13" s="9">
        <f>AJ2</f>
        <v/>
      </c>
      <c r="AK13" s="9">
        <f>AK2</f>
        <v/>
      </c>
      <c r="AL13" s="9">
        <f>AL2</f>
        <v/>
      </c>
      <c r="AN13" s="7" t="inlineStr">
        <is>
          <t>Rework</t>
        </is>
      </c>
      <c r="AO13" s="8">
        <f>SUM(Y35:Y40)</f>
        <v/>
      </c>
    </row>
    <row r="14">
      <c r="B14" s="84" t="n"/>
      <c r="C14" s="100" t="inlineStr">
        <is>
          <t>On-site team</t>
        </is>
      </c>
      <c r="D14" s="309" t="inlineStr">
        <is>
          <t>Allocated billable</t>
        </is>
      </c>
      <c r="E14" s="316" t="n"/>
      <c r="F14" s="102" t="n"/>
      <c r="G14" s="86" t="n"/>
      <c r="H14" s="86" t="n"/>
      <c r="I14" s="86" t="n"/>
      <c r="J14" s="86" t="n"/>
      <c r="K14" s="86" t="n"/>
      <c r="L14" s="86" t="n"/>
      <c r="M14" s="86" t="n"/>
      <c r="N14" s="86" t="n"/>
      <c r="O14" s="86" t="n"/>
      <c r="P14" s="86" t="n"/>
      <c r="Q14" s="92" t="n"/>
      <c r="T14" s="42" t="inlineStr">
        <is>
          <t>2020: SC 9.2</t>
        </is>
      </c>
      <c r="U14" s="46">
        <f>(V14+AA14+AB14)</f>
        <v/>
      </c>
      <c r="V14" s="72" t="n">
        <v>53</v>
      </c>
      <c r="W14" s="72" t="n">
        <v>14</v>
      </c>
      <c r="X14" s="72" t="n">
        <v>36</v>
      </c>
      <c r="Y14" s="72" t="n">
        <v>5</v>
      </c>
      <c r="Z14" s="72" t="n">
        <v>10</v>
      </c>
      <c r="AA14" s="72" t="n">
        <v>3</v>
      </c>
      <c r="AB14" s="72" t="n">
        <v>10</v>
      </c>
      <c r="AC14" s="46">
        <f>W14-Y14</f>
        <v/>
      </c>
      <c r="AD14" s="47">
        <f>Y14/W14</f>
        <v/>
      </c>
      <c r="AE14" s="47">
        <f>Z14/X14</f>
        <v/>
      </c>
      <c r="AF14" s="47">
        <f>AA14/W14</f>
        <v/>
      </c>
      <c r="AG14" s="47">
        <f>AB14/X14</f>
        <v/>
      </c>
      <c r="AH14" s="53">
        <f>V14/U14</f>
        <v/>
      </c>
      <c r="AJ14" s="9">
        <f>AJ3</f>
        <v/>
      </c>
      <c r="AK14" s="9">
        <f>AK3</f>
        <v/>
      </c>
      <c r="AL14" s="9">
        <f>AL3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42" t="inlineStr">
        <is>
          <t>2020: SC 10.1</t>
        </is>
      </c>
      <c r="U15" s="70">
        <f>(V15+AA15+AB15)</f>
        <v/>
      </c>
      <c r="V15" s="52" t="n">
        <v>33</v>
      </c>
      <c r="W15" s="52" t="n">
        <v>7</v>
      </c>
      <c r="X15" s="52" t="n">
        <v>25</v>
      </c>
      <c r="Y15" s="52" t="n">
        <v>7</v>
      </c>
      <c r="Z15" s="52" t="n">
        <v>9</v>
      </c>
      <c r="AA15" s="52" t="n">
        <v>3</v>
      </c>
      <c r="AB15" s="52" t="n">
        <v>3</v>
      </c>
      <c r="AC15" s="71">
        <f>W15-Y15</f>
        <v/>
      </c>
      <c r="AD15" s="47">
        <f>Y15/W15</f>
        <v/>
      </c>
      <c r="AE15" s="47">
        <f>Z15/X15</f>
        <v/>
      </c>
      <c r="AF15" s="47">
        <f>AA15/W15</f>
        <v/>
      </c>
      <c r="AG15" s="47">
        <f>AB15/X15</f>
        <v/>
      </c>
      <c r="AH15" s="53">
        <f>V15/U15</f>
        <v/>
      </c>
      <c r="AJ15" s="9">
        <f>AJ4</f>
        <v/>
      </c>
      <c r="AK15" s="9">
        <f>AK4</f>
        <v/>
      </c>
      <c r="AL15" s="9">
        <f>AL4</f>
        <v/>
      </c>
    </row>
    <row r="16">
      <c r="T16" s="42" t="inlineStr">
        <is>
          <t>2020: SC 10.2</t>
        </is>
      </c>
      <c r="U16" s="70">
        <f>(V16+AA16+AB16)</f>
        <v/>
      </c>
      <c r="V16" s="52" t="n">
        <v>23</v>
      </c>
      <c r="W16" s="52" t="n">
        <v>10</v>
      </c>
      <c r="X16" s="52" t="n">
        <v>12</v>
      </c>
      <c r="Y16" s="52" t="n">
        <v>11</v>
      </c>
      <c r="Z16" s="52" t="n">
        <v>11</v>
      </c>
      <c r="AA16" s="52" t="n">
        <v>3</v>
      </c>
      <c r="AB16" s="52" t="n">
        <v>10</v>
      </c>
      <c r="AC16" s="71">
        <f>W16-Y16</f>
        <v/>
      </c>
      <c r="AD16" s="47">
        <f>Y16/W16</f>
        <v/>
      </c>
      <c r="AE16" s="47">
        <f>Z16/X16</f>
        <v/>
      </c>
      <c r="AF16" s="47">
        <f>AA16/W16</f>
        <v/>
      </c>
      <c r="AG16" s="47">
        <f>AB16/X16</f>
        <v/>
      </c>
      <c r="AH16" s="53">
        <f>V16/U16</f>
        <v/>
      </c>
      <c r="AJ16" s="9">
        <f>AJ5</f>
        <v/>
      </c>
      <c r="AK16" s="9">
        <f>AK5</f>
        <v/>
      </c>
      <c r="AL16" s="9">
        <f>AL5</f>
        <v/>
      </c>
    </row>
    <row r="17">
      <c r="T17" s="37" t="inlineStr">
        <is>
          <t>2020: SC 11.1</t>
        </is>
      </c>
      <c r="U17" s="46" t="n">
        <v>28</v>
      </c>
      <c r="V17" s="46" t="n">
        <v>28</v>
      </c>
      <c r="W17" s="46" t="n">
        <v>7</v>
      </c>
      <c r="X17" s="46" t="n">
        <v>21</v>
      </c>
      <c r="Y17" s="46" t="n">
        <v>0</v>
      </c>
      <c r="Z17" s="46" t="n">
        <v>11</v>
      </c>
      <c r="AA17" s="46" t="n">
        <v>2</v>
      </c>
      <c r="AB17" s="46" t="n">
        <v>2</v>
      </c>
      <c r="AC17" s="46">
        <f>W17-Y17</f>
        <v/>
      </c>
      <c r="AD17" s="47">
        <f>Y17/W17</f>
        <v/>
      </c>
      <c r="AE17" s="47">
        <f>Z17/X17</f>
        <v/>
      </c>
      <c r="AF17" s="47">
        <f>AA17/W17</f>
        <v/>
      </c>
      <c r="AG17" s="47">
        <f>AB17/X17</f>
        <v/>
      </c>
      <c r="AH17" s="53">
        <f>V17/U17</f>
        <v/>
      </c>
      <c r="AJ17" s="9">
        <f>AJ6</f>
        <v/>
      </c>
      <c r="AK17" s="9">
        <f>AK6</f>
        <v/>
      </c>
      <c r="AL17" s="9">
        <f>AL6</f>
        <v/>
      </c>
      <c r="AN17" s="4" t="inlineStr">
        <is>
          <t>Row Labels</t>
        </is>
      </c>
      <c r="AO17" t="inlineStr">
        <is>
          <t>Sum of Planned Vs Completed ratio</t>
        </is>
      </c>
    </row>
    <row r="18">
      <c r="T18" s="66" t="inlineStr">
        <is>
          <t>2020: SC 11.2</t>
        </is>
      </c>
      <c r="U18" s="72" t="n">
        <v>27</v>
      </c>
      <c r="V18" s="72" t="n">
        <v>26</v>
      </c>
      <c r="W18" s="72" t="n">
        <v>0</v>
      </c>
      <c r="X18" s="72" t="n">
        <v>26</v>
      </c>
      <c r="Y18" s="72" t="n">
        <v>2</v>
      </c>
      <c r="Z18" s="72" t="n">
        <v>9</v>
      </c>
      <c r="AA18" s="72" t="n">
        <v>5</v>
      </c>
      <c r="AB18" s="72" t="n">
        <v>0</v>
      </c>
      <c r="AC18" s="72">
        <f>W18-Y18</f>
        <v/>
      </c>
      <c r="AD18" s="76" t="n">
        <v>0</v>
      </c>
      <c r="AE18" s="76">
        <f>Z18/X18</f>
        <v/>
      </c>
      <c r="AF18" s="76" t="n">
        <v>0</v>
      </c>
      <c r="AG18" s="76">
        <f>AB18/X18</f>
        <v/>
      </c>
      <c r="AH18" s="53">
        <f>V18/U18</f>
        <v/>
      </c>
      <c r="AJ18" s="9">
        <f>AJ7</f>
        <v/>
      </c>
      <c r="AK18" s="9">
        <f>AK7</f>
        <v/>
      </c>
      <c r="AL18" s="9">
        <f>AL7</f>
        <v/>
      </c>
      <c r="AN18" s="2" t="inlineStr">
        <is>
          <t>2021: SC 8.2</t>
        </is>
      </c>
      <c r="AO18" t="n">
        <v>0.8571428571428571</v>
      </c>
    </row>
    <row r="19">
      <c r="T19" s="31" t="inlineStr">
        <is>
          <t>2020: SC 12.1</t>
        </is>
      </c>
      <c r="U19" s="52" t="n">
        <v>26</v>
      </c>
      <c r="V19" s="52" t="n">
        <v>32</v>
      </c>
      <c r="W19" s="52" t="n">
        <v>10</v>
      </c>
      <c r="X19" s="52" t="n">
        <v>19</v>
      </c>
      <c r="Y19" s="52" t="n">
        <v>7</v>
      </c>
      <c r="Z19" s="52" t="n">
        <v>10</v>
      </c>
      <c r="AA19" s="52" t="n">
        <v>0</v>
      </c>
      <c r="AB19" s="52" t="n">
        <v>8</v>
      </c>
      <c r="AC19" s="52">
        <f>W19-Y19</f>
        <v/>
      </c>
      <c r="AD19" s="53">
        <f>Y19/W19</f>
        <v/>
      </c>
      <c r="AE19" s="53">
        <f>Z19/X19</f>
        <v/>
      </c>
      <c r="AF19" s="53">
        <f>AA19/W19</f>
        <v/>
      </c>
      <c r="AG19" s="53">
        <f>AB19/X19</f>
        <v/>
      </c>
      <c r="AH19" s="53">
        <f>V19/U19</f>
        <v/>
      </c>
      <c r="AN19" s="2" t="inlineStr">
        <is>
          <t>2021: SC 9.1</t>
        </is>
      </c>
      <c r="AO19" t="n">
        <v>1.4</v>
      </c>
    </row>
    <row r="20">
      <c r="T20" s="31" t="inlineStr">
        <is>
          <t>2020: SC 12.2</t>
        </is>
      </c>
      <c r="U20" s="52" t="n">
        <v>26</v>
      </c>
      <c r="V20" s="52" t="n">
        <v>22</v>
      </c>
      <c r="W20" s="52" t="n">
        <v>2</v>
      </c>
      <c r="X20" s="52" t="n">
        <v>20</v>
      </c>
      <c r="Y20" s="52" t="n">
        <v>0</v>
      </c>
      <c r="Z20" s="52" t="n">
        <v>7</v>
      </c>
      <c r="AA20" s="52" t="n">
        <v>0</v>
      </c>
      <c r="AB20" s="52" t="n">
        <v>8</v>
      </c>
      <c r="AC20" s="52">
        <f>W20-Y20</f>
        <v/>
      </c>
      <c r="AD20" s="53">
        <f>Y20/W20</f>
        <v/>
      </c>
      <c r="AE20" s="53">
        <f>Z20/X20</f>
        <v/>
      </c>
      <c r="AF20" s="53">
        <f>AA20/W20</f>
        <v/>
      </c>
      <c r="AG20" s="53">
        <f>AB20/X20</f>
        <v/>
      </c>
      <c r="AH20" s="53">
        <f>V20/U20</f>
        <v/>
      </c>
      <c r="AJ20" s="9" t="n"/>
      <c r="AK20" s="9" t="n"/>
      <c r="AL20" s="9" t="n"/>
      <c r="AN20" s="2" t="inlineStr">
        <is>
          <t>2021: SC 9.2</t>
        </is>
      </c>
      <c r="AO20" t="n">
        <v>1.333333333333333</v>
      </c>
    </row>
    <row r="21">
      <c r="T21" s="37" t="inlineStr">
        <is>
          <t>2021: SC 1.1</t>
        </is>
      </c>
      <c r="U21" s="46" t="n">
        <v>21</v>
      </c>
      <c r="V21" s="46" t="n">
        <v>21</v>
      </c>
      <c r="W21" s="46" t="n">
        <v>8</v>
      </c>
      <c r="X21" s="46" t="n">
        <v>13</v>
      </c>
      <c r="Y21" s="46" t="n">
        <v>8</v>
      </c>
      <c r="Z21" s="46" t="n">
        <v>10</v>
      </c>
      <c r="AA21" s="46" t="n">
        <v>0</v>
      </c>
      <c r="AB21" s="46" t="n">
        <v>3</v>
      </c>
      <c r="AC21" s="46">
        <f>W21-Y21</f>
        <v/>
      </c>
      <c r="AD21" s="53">
        <f>Y21/W21</f>
        <v/>
      </c>
      <c r="AE21" s="53">
        <f>Z21/X21</f>
        <v/>
      </c>
      <c r="AF21" s="53">
        <f>AA21/W21</f>
        <v/>
      </c>
      <c r="AG21" s="53">
        <f>AB21/X21</f>
        <v/>
      </c>
      <c r="AH21" s="53">
        <f>V21/U21</f>
        <v/>
      </c>
      <c r="AN21" s="2" t="inlineStr">
        <is>
          <t>2021: SC 9.3</t>
        </is>
      </c>
      <c r="AO21" t="n">
        <v>1</v>
      </c>
    </row>
    <row r="22">
      <c r="T22" s="37" t="inlineStr">
        <is>
          <t>2021: SC 1.2</t>
        </is>
      </c>
      <c r="U22" s="46" t="n">
        <v>18</v>
      </c>
      <c r="V22" s="46" t="n">
        <v>22</v>
      </c>
      <c r="W22" s="46" t="n">
        <v>8</v>
      </c>
      <c r="X22" s="46" t="n">
        <v>14</v>
      </c>
      <c r="Y22" s="46" t="n">
        <v>7</v>
      </c>
      <c r="Z22" s="46" t="n">
        <v>8</v>
      </c>
      <c r="AA22" s="46" t="n">
        <v>2</v>
      </c>
      <c r="AB22" s="46" t="n">
        <v>6</v>
      </c>
      <c r="AC22" s="46">
        <f>W22-Y22</f>
        <v/>
      </c>
      <c r="AD22" s="53">
        <f>Y22/W22</f>
        <v/>
      </c>
      <c r="AE22" s="53">
        <f>Z22/X22</f>
        <v/>
      </c>
      <c r="AF22" s="53">
        <f>AA22/W22</f>
        <v/>
      </c>
      <c r="AG22" s="53">
        <f>AB22/X22</f>
        <v/>
      </c>
      <c r="AH22" s="53">
        <f>V22/U22</f>
        <v/>
      </c>
      <c r="AN22" s="2" t="inlineStr">
        <is>
          <t>2021: SC 10.1</t>
        </is>
      </c>
      <c r="AO22" t="n">
        <v>1.035714285714286</v>
      </c>
    </row>
    <row r="23">
      <c r="T23" s="66" t="inlineStr">
        <is>
          <t>2021: SC 2.1</t>
        </is>
      </c>
      <c r="U23" s="72" t="n">
        <v>27</v>
      </c>
      <c r="V23" s="72" t="n">
        <v>28</v>
      </c>
      <c r="W23" s="72" t="n">
        <v>10</v>
      </c>
      <c r="X23" s="72" t="n">
        <v>18</v>
      </c>
      <c r="Y23" s="72" t="n">
        <v>2</v>
      </c>
      <c r="Z23" s="72" t="n">
        <v>3</v>
      </c>
      <c r="AA23" s="72" t="n">
        <v>1</v>
      </c>
      <c r="AB23" s="72" t="n">
        <v>3</v>
      </c>
      <c r="AC23" s="72">
        <f>W23-Y23</f>
        <v/>
      </c>
      <c r="AD23" s="53">
        <f>Y23/W23</f>
        <v/>
      </c>
      <c r="AE23" s="53">
        <f>Z23/X23</f>
        <v/>
      </c>
      <c r="AF23" s="53">
        <f>AA23/W23</f>
        <v/>
      </c>
      <c r="AG23" s="53">
        <f>AB23/X23</f>
        <v/>
      </c>
      <c r="AH23" s="53">
        <f>V23/U23</f>
        <v/>
      </c>
      <c r="AN23" s="2" t="inlineStr">
        <is>
          <t>2021: SC 10.2</t>
        </is>
      </c>
      <c r="AO23" t="n">
        <v>1.068965517241379</v>
      </c>
    </row>
    <row r="24">
      <c r="T24" s="37" t="inlineStr">
        <is>
          <t>2021: SC 3.1</t>
        </is>
      </c>
      <c r="U24" s="46" t="n">
        <v>30</v>
      </c>
      <c r="V24" s="46" t="n">
        <v>34</v>
      </c>
      <c r="W24" s="46" t="n">
        <v>10</v>
      </c>
      <c r="X24" s="46" t="n">
        <v>24</v>
      </c>
      <c r="Y24" s="46" t="n">
        <v>5</v>
      </c>
      <c r="Z24" s="46" t="n">
        <v>3</v>
      </c>
      <c r="AA24" s="46" t="n">
        <v>2</v>
      </c>
      <c r="AB24" s="46" t="n">
        <v>2</v>
      </c>
      <c r="AC24" s="46">
        <f>W24-Y24</f>
        <v/>
      </c>
      <c r="AD24" s="119">
        <f>Y24/W24</f>
        <v/>
      </c>
      <c r="AE24" s="53">
        <f>Z24/X24</f>
        <v/>
      </c>
      <c r="AF24" s="53">
        <f>AA24/W24</f>
        <v/>
      </c>
      <c r="AG24" s="53">
        <f>AB24/X24</f>
        <v/>
      </c>
      <c r="AH24" s="53">
        <f>V24/U24</f>
        <v/>
      </c>
      <c r="AN24" s="2" t="inlineStr">
        <is>
          <t>Grand Total</t>
        </is>
      </c>
      <c r="AO24" t="n">
        <v>6.695155993431855</v>
      </c>
    </row>
    <row r="25">
      <c r="T25" s="66" t="inlineStr">
        <is>
          <t>2021: SC 3.2</t>
        </is>
      </c>
      <c r="U25" s="72" t="n">
        <v>27</v>
      </c>
      <c r="V25" s="72" t="n">
        <v>42</v>
      </c>
      <c r="W25" s="72" t="n">
        <v>11</v>
      </c>
      <c r="X25" s="72" t="n">
        <v>31</v>
      </c>
      <c r="Y25" s="72" t="n">
        <v>1</v>
      </c>
      <c r="Z25" s="72" t="n">
        <v>7</v>
      </c>
      <c r="AA25" s="72" t="n">
        <v>0</v>
      </c>
      <c r="AB25" s="72" t="n">
        <v>2</v>
      </c>
      <c r="AC25" s="72">
        <f>W25-Y25</f>
        <v/>
      </c>
      <c r="AD25" s="127">
        <f>Y25/W25</f>
        <v/>
      </c>
      <c r="AE25" s="116">
        <f>Z25/X25</f>
        <v/>
      </c>
      <c r="AF25" s="116">
        <f>AA25/W25</f>
        <v/>
      </c>
      <c r="AG25" s="116">
        <f>AB25/X25</f>
        <v/>
      </c>
      <c r="AH25" s="116">
        <f>V25/U25</f>
        <v/>
      </c>
    </row>
    <row r="26">
      <c r="T26" s="37" t="inlineStr">
        <is>
          <t>2021: SC 4.1</t>
        </is>
      </c>
      <c r="U26" s="46" t="n">
        <v>26</v>
      </c>
      <c r="V26" s="46" t="n">
        <v>30</v>
      </c>
      <c r="W26" s="46" t="n">
        <v>8</v>
      </c>
      <c r="X26" s="46" t="n">
        <v>22</v>
      </c>
      <c r="Y26" s="46" t="n">
        <v>0</v>
      </c>
      <c r="Z26" s="46" t="n">
        <v>7</v>
      </c>
      <c r="AA26" s="46" t="n">
        <v>0</v>
      </c>
      <c r="AB26" s="46" t="n">
        <v>4</v>
      </c>
      <c r="AC26" s="46">
        <f>W26-Y26</f>
        <v/>
      </c>
      <c r="AD26" s="47">
        <f>Y26/W26</f>
        <v/>
      </c>
      <c r="AE26" s="47">
        <f>Z26/X26</f>
        <v/>
      </c>
      <c r="AF26" s="47">
        <f>AA26/W26</f>
        <v/>
      </c>
      <c r="AG26" s="47">
        <f>AB26/X26</f>
        <v/>
      </c>
      <c r="AH26" s="47">
        <f>V26/U26</f>
        <v/>
      </c>
    </row>
    <row r="27">
      <c r="T27" s="37" t="inlineStr">
        <is>
          <t>2021: SC 4.2</t>
        </is>
      </c>
      <c r="U27" s="46" t="n">
        <v>33</v>
      </c>
      <c r="V27" s="46" t="n">
        <v>36</v>
      </c>
      <c r="W27" s="46" t="n">
        <v>16</v>
      </c>
      <c r="X27" s="46" t="n">
        <v>21</v>
      </c>
      <c r="Y27" s="46" t="n">
        <v>5</v>
      </c>
      <c r="Z27" s="46" t="n">
        <v>8</v>
      </c>
      <c r="AA27" s="46" t="n">
        <v>0</v>
      </c>
      <c r="AB27" s="46" t="n">
        <v>2</v>
      </c>
      <c r="AC27" s="46">
        <f>W27-Y27</f>
        <v/>
      </c>
      <c r="AD27" s="47">
        <f>Y27/W27</f>
        <v/>
      </c>
      <c r="AE27" s="47">
        <f>Z27/X27</f>
        <v/>
      </c>
      <c r="AF27" s="47">
        <f>AA27/W27</f>
        <v/>
      </c>
      <c r="AG27" s="47">
        <f>AB27/X27</f>
        <v/>
      </c>
      <c r="AH27" s="47">
        <f>V27/U27</f>
        <v/>
      </c>
      <c r="AN27" s="36" t="inlineStr">
        <is>
          <t>Sprint</t>
        </is>
      </c>
      <c r="AO27" s="36" t="inlineStr">
        <is>
          <t>Planned Vs Completed ratio</t>
        </is>
      </c>
    </row>
    <row r="28">
      <c r="T28" s="37" t="inlineStr">
        <is>
          <t>2021: SC 5.1</t>
        </is>
      </c>
      <c r="U28" s="46" t="n">
        <v>31</v>
      </c>
      <c r="V28" s="46" t="n">
        <v>36</v>
      </c>
      <c r="W28" s="46" t="n">
        <v>8</v>
      </c>
      <c r="X28" s="46" t="n">
        <v>28</v>
      </c>
      <c r="Y28" s="46" t="n">
        <v>2</v>
      </c>
      <c r="Z28" s="46" t="n">
        <v>0</v>
      </c>
      <c r="AA28" s="46" t="n">
        <v>0</v>
      </c>
      <c r="AB28" s="46" t="n">
        <v>0</v>
      </c>
      <c r="AC28" s="46">
        <f>W28-Y28</f>
        <v/>
      </c>
      <c r="AD28" s="47">
        <f>Y28/W28</f>
        <v/>
      </c>
      <c r="AE28" s="47">
        <f>Z28/X28</f>
        <v/>
      </c>
      <c r="AF28" s="47">
        <f>AA28/W28</f>
        <v/>
      </c>
      <c r="AG28" s="47">
        <f>AB28/X28</f>
        <v/>
      </c>
      <c r="AH28" s="47">
        <f>V28/U28</f>
        <v/>
      </c>
      <c r="AN28" s="83">
        <f>AN18</f>
        <v/>
      </c>
      <c r="AO28" s="32">
        <f>GETPIVOTDATA("Planned Vs Completed ratio",$AN$17,"Week Starting On","2021: SC 8.2")</f>
        <v/>
      </c>
    </row>
    <row r="29">
      <c r="T29" s="37" t="inlineStr">
        <is>
          <t>2021: SC 5.2</t>
        </is>
      </c>
      <c r="U29" s="46" t="n">
        <v>27</v>
      </c>
      <c r="V29" s="46" t="n">
        <v>27</v>
      </c>
      <c r="W29" s="46" t="n">
        <v>9</v>
      </c>
      <c r="X29" s="46" t="n">
        <v>18</v>
      </c>
      <c r="Y29" s="46" t="n">
        <v>0</v>
      </c>
      <c r="Z29" s="46" t="n">
        <v>5</v>
      </c>
      <c r="AA29" s="46" t="n">
        <v>0</v>
      </c>
      <c r="AB29" s="46" t="n">
        <v>0</v>
      </c>
      <c r="AC29" s="46">
        <f>W29-Y29</f>
        <v/>
      </c>
      <c r="AD29" s="47">
        <f>Y29/W29</f>
        <v/>
      </c>
      <c r="AE29" s="47">
        <f>Z29/X29</f>
        <v/>
      </c>
      <c r="AF29" s="47">
        <f>AA29/W29</f>
        <v/>
      </c>
      <c r="AG29" s="47">
        <f>AB29/X29</f>
        <v/>
      </c>
      <c r="AH29" s="47">
        <f>V29/U29</f>
        <v/>
      </c>
      <c r="AN29" s="83">
        <f>AN19</f>
        <v/>
      </c>
      <c r="AO29" s="32">
        <f>GETPIVOTDATA("Planned Vs Completed ratio",$AN$17,"Week Starting On","2021: SC 9.1")</f>
        <v/>
      </c>
    </row>
    <row r="30">
      <c r="T30" s="37" t="inlineStr">
        <is>
          <t>2021: SC 6.1</t>
        </is>
      </c>
      <c r="U30" s="46" t="n">
        <v>36</v>
      </c>
      <c r="V30" s="46" t="n">
        <v>24</v>
      </c>
      <c r="W30" s="46" t="n">
        <v>8</v>
      </c>
      <c r="X30" s="46" t="n">
        <v>16</v>
      </c>
      <c r="Y30" s="46" t="n">
        <v>0</v>
      </c>
      <c r="Z30" s="46" t="n">
        <v>10</v>
      </c>
      <c r="AA30" s="46" t="n">
        <v>5</v>
      </c>
      <c r="AB30" s="46" t="n">
        <v>7</v>
      </c>
      <c r="AC30" s="46">
        <f>W30-Y30</f>
        <v/>
      </c>
      <c r="AD30" s="47">
        <f>Y30/W30</f>
        <v/>
      </c>
      <c r="AE30" s="47">
        <f>Z30/X30</f>
        <v/>
      </c>
      <c r="AF30" s="47">
        <f>AA30/W30</f>
        <v/>
      </c>
      <c r="AG30" s="47">
        <f>AB30/X30</f>
        <v/>
      </c>
      <c r="AH30" s="47">
        <f>V30/U30</f>
        <v/>
      </c>
      <c r="AN30" s="83">
        <f>AN20</f>
        <v/>
      </c>
      <c r="AO30" s="32">
        <f>GETPIVOTDATA("Planned Vs Completed ratio",$AN$17,"Week Starting On","2021: SC 8.2")</f>
        <v/>
      </c>
    </row>
    <row r="31">
      <c r="T31" s="37" t="inlineStr">
        <is>
          <t>2021: SC 6.2</t>
        </is>
      </c>
      <c r="U31" s="46" t="n">
        <v>31</v>
      </c>
      <c r="V31" s="46" t="n">
        <v>29</v>
      </c>
      <c r="W31" s="46" t="n">
        <v>9</v>
      </c>
      <c r="X31" s="46" t="n">
        <v>20</v>
      </c>
      <c r="Y31" s="46" t="n">
        <v>5</v>
      </c>
      <c r="Z31" s="46" t="n">
        <v>2</v>
      </c>
      <c r="AA31" s="46" t="n">
        <v>0</v>
      </c>
      <c r="AB31" s="46" t="n">
        <v>2</v>
      </c>
      <c r="AC31" s="46">
        <f>W31-Y31</f>
        <v/>
      </c>
      <c r="AD31" s="47">
        <f>Y31/W31</f>
        <v/>
      </c>
      <c r="AE31" s="47">
        <f>Z31/X31</f>
        <v/>
      </c>
      <c r="AF31" s="47">
        <f>AA31/W31</f>
        <v/>
      </c>
      <c r="AG31" s="47">
        <f>AB31/X31</f>
        <v/>
      </c>
      <c r="AH31" s="47">
        <f>V31/U31</f>
        <v/>
      </c>
      <c r="AN31" s="83">
        <f>AN21</f>
        <v/>
      </c>
      <c r="AO31" s="32">
        <f>GETPIVOTDATA("Planned Vs Completed ratio",$AN$17,"Week Starting On","2021: SC 9.1")</f>
        <v/>
      </c>
    </row>
    <row r="32">
      <c r="T32" s="37" t="inlineStr">
        <is>
          <t>2021: SC 7.1</t>
        </is>
      </c>
      <c r="U32" s="46" t="n">
        <v>25</v>
      </c>
      <c r="V32" s="46" t="n">
        <v>19</v>
      </c>
      <c r="W32" s="46" t="n">
        <v>9</v>
      </c>
      <c r="X32" s="46" t="n">
        <v>10</v>
      </c>
      <c r="Y32" s="46" t="n">
        <v>0</v>
      </c>
      <c r="Z32" s="46" t="n">
        <v>8</v>
      </c>
      <c r="AA32" s="46" t="n">
        <v>0</v>
      </c>
      <c r="AB32" s="46" t="n">
        <v>6</v>
      </c>
      <c r="AC32" s="46">
        <f>W32-Y32</f>
        <v/>
      </c>
      <c r="AD32" s="47">
        <f>Y32/W32</f>
        <v/>
      </c>
      <c r="AE32" s="47">
        <f>Z32/X32</f>
        <v/>
      </c>
      <c r="AF32" s="47">
        <f>AA32/W32</f>
        <v/>
      </c>
      <c r="AG32" s="47">
        <f>AB32/X32</f>
        <v/>
      </c>
      <c r="AH32" s="47">
        <f>V32/U32</f>
        <v/>
      </c>
      <c r="AN32" s="129">
        <f>AN22</f>
        <v/>
      </c>
      <c r="AO32" s="130">
        <f>GETPIVOTDATA("Planned Vs Completed ratio",$AN$17,"Week Starting On","2021: SC 9.2")</f>
        <v/>
      </c>
    </row>
    <row r="33">
      <c r="T33" s="37" t="inlineStr">
        <is>
          <t>2021: SC 7.2</t>
        </is>
      </c>
      <c r="U33" s="46" t="n">
        <v>24</v>
      </c>
      <c r="V33" s="46" t="n">
        <v>21</v>
      </c>
      <c r="W33" s="46" t="n">
        <v>8</v>
      </c>
      <c r="X33" s="46" t="n">
        <v>13</v>
      </c>
      <c r="Y33" s="46" t="n">
        <v>0</v>
      </c>
      <c r="Z33" s="46" t="n">
        <v>5</v>
      </c>
      <c r="AA33" s="46" t="n">
        <v>0</v>
      </c>
      <c r="AB33" s="46" t="n">
        <v>3</v>
      </c>
      <c r="AC33" s="46">
        <f>W33-Y33</f>
        <v/>
      </c>
      <c r="AD33" s="47">
        <f>Y33/W33</f>
        <v/>
      </c>
      <c r="AE33" s="47">
        <f>Z33/X33</f>
        <v/>
      </c>
      <c r="AF33" s="47">
        <f>AA33/W33</f>
        <v/>
      </c>
      <c r="AG33" s="47">
        <f>AB33/X33</f>
        <v/>
      </c>
      <c r="AH33" s="47">
        <f>V33/U33</f>
        <v/>
      </c>
      <c r="AN33" s="83">
        <f>AN23</f>
        <v/>
      </c>
      <c r="AO33" s="32">
        <f>GETPIVOTDATA("Planned Vs Completed ratio",$AN$17,"Week Starting On","2021: SC 9.3")</f>
        <v/>
      </c>
    </row>
    <row r="34">
      <c r="T34" s="37" t="inlineStr">
        <is>
          <t>2021: SC 8.1</t>
        </is>
      </c>
      <c r="U34" s="46" t="n">
        <v>21</v>
      </c>
      <c r="V34" s="46" t="n">
        <v>21</v>
      </c>
      <c r="W34" s="46" t="n">
        <v>7</v>
      </c>
      <c r="X34" s="46" t="n">
        <v>14</v>
      </c>
      <c r="Y34" s="46" t="n">
        <v>0</v>
      </c>
      <c r="Z34" s="46" t="n">
        <v>5</v>
      </c>
      <c r="AA34" s="46" t="n">
        <v>0</v>
      </c>
      <c r="AB34" s="46" t="n">
        <v>0</v>
      </c>
      <c r="AC34" s="46">
        <f>W34-Y34</f>
        <v/>
      </c>
      <c r="AD34" s="47">
        <f>Y34/W34</f>
        <v/>
      </c>
      <c r="AE34" s="47">
        <f>Z34/X34</f>
        <v/>
      </c>
      <c r="AF34" s="47">
        <f>AA34/W34</f>
        <v/>
      </c>
      <c r="AG34" s="47">
        <f>AB34/X34</f>
        <v/>
      </c>
      <c r="AH34" s="47">
        <f>V34/U34</f>
        <v/>
      </c>
      <c r="AN34" s="69" t="n"/>
      <c r="AO34" s="32" t="n"/>
    </row>
    <row r="35">
      <c r="T35" s="37" t="inlineStr">
        <is>
          <t>2021: SC 8.2</t>
        </is>
      </c>
      <c r="U35" s="46" t="n">
        <v>21</v>
      </c>
      <c r="V35" s="46" t="n">
        <v>18</v>
      </c>
      <c r="W35" s="46" t="n">
        <v>3</v>
      </c>
      <c r="X35" s="46" t="n">
        <v>15</v>
      </c>
      <c r="Y35" s="46" t="n">
        <v>3</v>
      </c>
      <c r="Z35" s="46" t="n">
        <v>15</v>
      </c>
      <c r="AA35" s="46" t="n">
        <v>0</v>
      </c>
      <c r="AB35" s="46" t="n">
        <v>3</v>
      </c>
      <c r="AC35" s="46">
        <f>W35-Y35</f>
        <v/>
      </c>
      <c r="AD35" s="47">
        <f>Y35/W35</f>
        <v/>
      </c>
      <c r="AE35" s="47">
        <f>Z35/X35</f>
        <v/>
      </c>
      <c r="AF35" s="47">
        <f>AA35/W35</f>
        <v/>
      </c>
      <c r="AG35" s="47">
        <f>AB35/X35</f>
        <v/>
      </c>
      <c r="AH35" s="47">
        <f>V35/U35</f>
        <v/>
      </c>
    </row>
    <row r="36">
      <c r="T36" s="37" t="inlineStr">
        <is>
          <t>2021: SC 9.1</t>
        </is>
      </c>
      <c r="U36" s="46" t="n">
        <v>15</v>
      </c>
      <c r="V36" s="46" t="n">
        <v>21</v>
      </c>
      <c r="W36" s="46" t="n">
        <v>10</v>
      </c>
      <c r="X36" s="46" t="n">
        <v>11</v>
      </c>
      <c r="Y36" s="46" t="n">
        <v>0</v>
      </c>
      <c r="Z36" s="46" t="n">
        <v>8</v>
      </c>
      <c r="AA36" s="46" t="n">
        <v>0</v>
      </c>
      <c r="AB36" s="46" t="n">
        <v>4</v>
      </c>
      <c r="AC36" s="46">
        <f>W36-Y36</f>
        <v/>
      </c>
      <c r="AD36" s="47">
        <f>Y36/W36</f>
        <v/>
      </c>
      <c r="AE36" s="47">
        <f>Z36/X36</f>
        <v/>
      </c>
      <c r="AF36" s="47">
        <f>AA36/W36</f>
        <v/>
      </c>
      <c r="AG36" s="47">
        <f>AB36/X36</f>
        <v/>
      </c>
      <c r="AH36" s="47">
        <f>V36/U36</f>
        <v/>
      </c>
    </row>
    <row r="37">
      <c r="T37" s="37" t="inlineStr">
        <is>
          <t>2021: SC 9.2</t>
        </is>
      </c>
      <c r="U37" s="46" t="n">
        <v>21</v>
      </c>
      <c r="V37" s="46" t="n">
        <v>28</v>
      </c>
      <c r="W37" s="46" t="n">
        <v>9</v>
      </c>
      <c r="X37" s="46" t="n">
        <v>19</v>
      </c>
      <c r="Y37" s="46" t="n">
        <v>0</v>
      </c>
      <c r="Z37" s="46" t="n">
        <v>2</v>
      </c>
      <c r="AA37" s="46" t="n">
        <v>0</v>
      </c>
      <c r="AB37" s="46" t="n">
        <v>0</v>
      </c>
      <c r="AC37" s="46">
        <f>W37-Y37</f>
        <v/>
      </c>
      <c r="AD37" s="47">
        <f>Y37/W37</f>
        <v/>
      </c>
      <c r="AE37" s="47">
        <f>Z37/X37</f>
        <v/>
      </c>
      <c r="AF37" s="47">
        <f>AA37/W37</f>
        <v/>
      </c>
      <c r="AG37" s="47">
        <f>AB37/X37</f>
        <v/>
      </c>
      <c r="AH37" s="47">
        <f>V37/U37</f>
        <v/>
      </c>
    </row>
    <row r="38">
      <c r="T38" s="37" t="inlineStr">
        <is>
          <t>2021: SC 9.3</t>
        </is>
      </c>
      <c r="U38" s="46" t="n">
        <v>22</v>
      </c>
      <c r="V38" s="46" t="n">
        <v>22</v>
      </c>
      <c r="W38" s="46" t="n">
        <v>12</v>
      </c>
      <c r="X38" s="46" t="n">
        <v>10</v>
      </c>
      <c r="Y38" s="46" t="n">
        <v>3</v>
      </c>
      <c r="Z38" s="46" t="n">
        <v>2</v>
      </c>
      <c r="AA38" s="46" t="n">
        <v>0</v>
      </c>
      <c r="AB38" s="46" t="n">
        <v>0</v>
      </c>
      <c r="AC38" s="46">
        <f>W38-Y38</f>
        <v/>
      </c>
      <c r="AD38" s="47">
        <f>Y38/W38</f>
        <v/>
      </c>
      <c r="AE38" s="47">
        <f>Z38/X38</f>
        <v/>
      </c>
      <c r="AF38" s="47">
        <f>AA38/W38</f>
        <v/>
      </c>
      <c r="AG38" s="47">
        <f>AB38/X38</f>
        <v/>
      </c>
      <c r="AH38" s="47">
        <f>V38/U38</f>
        <v/>
      </c>
    </row>
    <row r="39">
      <c r="T39" s="37" t="inlineStr">
        <is>
          <t>2021: SC 10.1</t>
        </is>
      </c>
      <c r="U39" s="46" t="n">
        <v>28</v>
      </c>
      <c r="V39" s="46" t="n">
        <v>29</v>
      </c>
      <c r="W39" s="46" t="n">
        <v>12</v>
      </c>
      <c r="X39" s="46" t="n">
        <v>17</v>
      </c>
      <c r="Y39" s="46" t="n">
        <v>6</v>
      </c>
      <c r="Z39" s="46" t="n">
        <v>5</v>
      </c>
      <c r="AA39" s="46" t="n">
        <v>0</v>
      </c>
      <c r="AB39" s="46" t="n">
        <v>0</v>
      </c>
      <c r="AC39" s="46">
        <f>W39-Y39</f>
        <v/>
      </c>
      <c r="AD39" s="47">
        <f>Y39/W39</f>
        <v/>
      </c>
      <c r="AE39" s="47">
        <f>Z39/X39</f>
        <v/>
      </c>
      <c r="AF39" s="47">
        <f>AA39/W39</f>
        <v/>
      </c>
      <c r="AG39" s="47">
        <f>AB39/X39</f>
        <v/>
      </c>
      <c r="AH39" s="47">
        <f>V39/U39</f>
        <v/>
      </c>
    </row>
    <row r="40">
      <c r="T40" s="37" t="inlineStr">
        <is>
          <t>2021: SC 10.2</t>
        </is>
      </c>
      <c r="U40" s="46" t="n">
        <v>29</v>
      </c>
      <c r="V40" s="46" t="n">
        <v>31</v>
      </c>
      <c r="W40" s="46" t="n">
        <v>15</v>
      </c>
      <c r="X40" s="46" t="n">
        <v>16</v>
      </c>
      <c r="Y40" s="46" t="n">
        <v>2</v>
      </c>
      <c r="Z40" s="46" t="n">
        <v>3</v>
      </c>
      <c r="AA40" s="46" t="n">
        <v>0</v>
      </c>
      <c r="AB40" s="46" t="n">
        <v>3</v>
      </c>
      <c r="AC40" s="46">
        <f>W40-Y40</f>
        <v/>
      </c>
      <c r="AD40" s="47">
        <f>Y40/W40</f>
        <v/>
      </c>
      <c r="AE40" s="47">
        <f>Z40/X40</f>
        <v/>
      </c>
      <c r="AF40" s="47">
        <f>AA40/W40</f>
        <v/>
      </c>
      <c r="AG40" s="47">
        <f>AB40/X40</f>
        <v/>
      </c>
      <c r="AH40" s="47">
        <f>V40/U40</f>
        <v/>
      </c>
    </row>
    <row r="41">
      <c r="T41" s="37" t="n"/>
      <c r="U41" s="46" t="n"/>
      <c r="V41" s="46" t="n"/>
      <c r="W41" s="46" t="n"/>
      <c r="X41" s="46" t="n"/>
      <c r="Y41" s="46" t="n"/>
      <c r="Z41" s="46" t="n"/>
      <c r="AA41" s="46" t="n"/>
      <c r="AB41" s="46" t="n"/>
      <c r="AC41" s="46" t="n"/>
      <c r="AD41" s="46" t="n"/>
      <c r="AE41" s="46" t="n"/>
      <c r="AF41" s="46" t="n"/>
      <c r="AG41" s="46" t="n"/>
      <c r="AH41" s="37" t="n"/>
      <c r="AJ41" s="4" t="inlineStr">
        <is>
          <t>Row Labels</t>
        </is>
      </c>
      <c r="AK41" t="inlineStr">
        <is>
          <t>Sum of V2 Reopen Percentage</t>
        </is>
      </c>
      <c r="AL41" t="inlineStr">
        <is>
          <t>Sum of LT Reopen Percentage</t>
        </is>
      </c>
    </row>
    <row r="42">
      <c r="T42" s="37" t="n"/>
      <c r="U42" s="46" t="n"/>
      <c r="V42" s="46" t="n"/>
      <c r="W42" s="46" t="n"/>
      <c r="X42" s="46" t="n"/>
      <c r="Y42" s="46" t="n"/>
      <c r="Z42" s="46" t="n"/>
      <c r="AA42" s="46" t="n"/>
      <c r="AB42" s="46" t="n"/>
      <c r="AC42" s="46" t="n"/>
      <c r="AD42" s="46" t="n"/>
      <c r="AE42" s="46" t="n"/>
      <c r="AF42" s="46" t="n"/>
      <c r="AG42" s="46" t="n"/>
      <c r="AH42" s="37" t="n"/>
      <c r="AJ42" s="2" t="inlineStr">
        <is>
          <t>2021: SC 8.2</t>
        </is>
      </c>
      <c r="AK42" t="n">
        <v>1</v>
      </c>
      <c r="AL42" t="n">
        <v>1</v>
      </c>
    </row>
    <row r="43">
      <c r="T43" s="37" t="inlineStr">
        <is>
          <t>2020: SC 11.2</t>
        </is>
      </c>
      <c r="U43" s="46" t="inlineStr">
        <is>
          <t>Sachin had assigned 5 story points</t>
        </is>
      </c>
      <c r="V43" s="46" t="n"/>
      <c r="W43" s="46" t="n"/>
      <c r="X43" s="46" t="n"/>
      <c r="Y43" s="46" t="n"/>
      <c r="Z43" s="46" t="n"/>
      <c r="AA43" s="46" t="n"/>
      <c r="AB43" s="46" t="n"/>
      <c r="AC43" s="46" t="n"/>
      <c r="AD43" s="46" t="n"/>
      <c r="AE43" s="46" t="n"/>
      <c r="AF43" s="46" t="n"/>
      <c r="AG43" s="46" t="n"/>
      <c r="AH43" s="37" t="n"/>
      <c r="AJ43" s="2" t="inlineStr">
        <is>
          <t>2021: SC 9.1</t>
        </is>
      </c>
      <c r="AK43" t="n">
        <v>0</v>
      </c>
      <c r="AL43" t="n">
        <v>0.7272727272727273</v>
      </c>
    </row>
    <row r="44">
      <c r="T44" s="37" t="inlineStr">
        <is>
          <t>2021: SC 3.1</t>
        </is>
      </c>
      <c r="U44" s="46" t="inlineStr">
        <is>
          <t>Additional Story Point:
2
Carry Forward:
Issue from Equifax API which is not assign to sachin
Reopen: 
Issue in subtask which is not assign to sachin</t>
        </is>
      </c>
      <c r="V44" s="46" t="n"/>
      <c r="W44" s="46" t="n"/>
      <c r="X44" s="46" t="n"/>
      <c r="Y44" s="46" t="n"/>
      <c r="Z44" s="46" t="n"/>
      <c r="AA44" s="46" t="n"/>
      <c r="AB44" s="46" t="n"/>
      <c r="AC44" s="46" t="n"/>
      <c r="AD44" s="46" t="n"/>
      <c r="AE44" s="46" t="n"/>
      <c r="AF44" s="46" t="n"/>
      <c r="AG44" s="46" t="n"/>
      <c r="AH44" s="37" t="n"/>
      <c r="AJ44" s="2" t="inlineStr">
        <is>
          <t>2021: SC 9.2</t>
        </is>
      </c>
      <c r="AK44" t="n">
        <v>0</v>
      </c>
      <c r="AL44" t="n">
        <v>0.1052631578947368</v>
      </c>
    </row>
    <row r="45">
      <c r="T45" s="37" t="inlineStr">
        <is>
          <t>2021: SC 3.2</t>
        </is>
      </c>
      <c r="U45" s="46" t="inlineStr">
        <is>
          <t>Reopen: Requirment change</t>
        </is>
      </c>
      <c r="V45" s="46" t="n"/>
      <c r="W45" s="46" t="n"/>
      <c r="X45" s="46" t="n"/>
      <c r="Y45" s="46" t="n"/>
      <c r="Z45" s="46" t="n"/>
      <c r="AA45" s="46" t="n"/>
      <c r="AB45" s="46" t="n"/>
      <c r="AC45" s="46" t="n"/>
      <c r="AD45" s="46" t="n"/>
      <c r="AE45" s="46" t="n"/>
      <c r="AF45" s="46" t="n"/>
      <c r="AG45" s="46" t="n"/>
      <c r="AH45" s="37" t="n"/>
      <c r="AJ45" s="2" t="inlineStr">
        <is>
          <t>2021: SC 9.3</t>
        </is>
      </c>
      <c r="AK45" t="n">
        <v>0.25</v>
      </c>
      <c r="AL45" t="n">
        <v>0.2</v>
      </c>
    </row>
    <row r="46" ht="15.75" customHeight="1">
      <c r="T46" s="37" t="inlineStr">
        <is>
          <t>2021: SC 4.2</t>
        </is>
      </c>
      <c r="U46" s="126" t="inlineStr">
        <is>
          <t>SNAP-2938 - Reopen due to mock up not provided</t>
        </is>
      </c>
      <c r="V46" s="46" t="n"/>
      <c r="W46" s="46" t="n"/>
      <c r="X46" s="46" t="n"/>
      <c r="Y46" s="46" t="n"/>
      <c r="Z46" s="46" t="n"/>
      <c r="AA46" s="46" t="n"/>
      <c r="AB46" s="46" t="n"/>
      <c r="AC46" s="46" t="n"/>
      <c r="AD46" s="46" t="n"/>
      <c r="AE46" s="46" t="n"/>
      <c r="AF46" s="46" t="n"/>
      <c r="AG46" s="46" t="n"/>
      <c r="AH46" s="37" t="n"/>
      <c r="AJ46" s="2" t="inlineStr">
        <is>
          <t>2021: SC 10.1</t>
        </is>
      </c>
      <c r="AK46" t="n">
        <v>0.5</v>
      </c>
      <c r="AL46" t="n">
        <v>0.2941176470588235</v>
      </c>
    </row>
    <row r="47">
      <c r="T47" s="128" t="inlineStr">
        <is>
          <t>2021: SC 5.1</t>
        </is>
      </c>
      <c r="U47" s="46" t="inlineStr">
        <is>
          <t>Not an issue -   LT - Added new file and forget to merge with new changes. This issue need's to be fixed from Devops team. (Global Issue)</t>
        </is>
      </c>
      <c r="V47" s="46" t="n"/>
      <c r="W47" s="46" t="n"/>
      <c r="X47" s="46" t="n"/>
      <c r="Y47" s="46" t="n"/>
      <c r="Z47" s="46" t="n"/>
      <c r="AA47" s="46" t="n"/>
      <c r="AB47" s="46" t="n"/>
      <c r="AC47" s="46" t="n"/>
      <c r="AD47" s="46" t="n"/>
      <c r="AE47" s="46" t="n"/>
      <c r="AF47" s="46" t="n"/>
      <c r="AG47" s="46" t="n"/>
      <c r="AH47" s="37" t="n"/>
      <c r="AJ47" s="2" t="inlineStr">
        <is>
          <t>2021: SC 10.2</t>
        </is>
      </c>
      <c r="AK47" t="n">
        <v>0.1333333333333333</v>
      </c>
      <c r="AL47" t="n">
        <v>0.1875</v>
      </c>
      <c r="AN47" s="4" t="inlineStr">
        <is>
          <t>Row Labels</t>
        </is>
      </c>
      <c r="AO47" t="inlineStr">
        <is>
          <t>Sum of V2 Carryover Percentage</t>
        </is>
      </c>
      <c r="AP47" t="inlineStr">
        <is>
          <t>Sum of LT Carryover Percentage</t>
        </is>
      </c>
    </row>
    <row r="48">
      <c r="T48" s="37" t="inlineStr">
        <is>
          <t>2021: SC 6.2</t>
        </is>
      </c>
      <c r="U48" s="46" t="inlineStr">
        <is>
          <t>SNAP-3087: One issue wasn't related and task is moved out from the this story ticket. SNAP-3069: Change request.</t>
        </is>
      </c>
      <c r="V48" s="46" t="n"/>
      <c r="W48" s="46" t="n"/>
      <c r="X48" s="46" t="n"/>
      <c r="Y48" s="46" t="n"/>
      <c r="Z48" s="46" t="n"/>
      <c r="AA48" s="46" t="n"/>
      <c r="AB48" s="46" t="n"/>
      <c r="AC48" s="46" t="n"/>
      <c r="AD48" s="46" t="n"/>
      <c r="AE48" s="46" t="n"/>
      <c r="AF48" s="46" t="n"/>
      <c r="AG48" s="46" t="n"/>
      <c r="AH48" s="37" t="n"/>
      <c r="AN48" s="2" t="inlineStr">
        <is>
          <t>2021: SC 8.2</t>
        </is>
      </c>
      <c r="AO48" t="n">
        <v>0</v>
      </c>
      <c r="AP48" t="n">
        <v>0.2</v>
      </c>
    </row>
    <row r="49">
      <c r="T49" s="37" t="inlineStr">
        <is>
          <t>2021: SC 8.2</t>
        </is>
      </c>
      <c r="U49" s="46" t="inlineStr">
        <is>
          <t>SNAP-3156 - SNAP-3252 - Redirect Page | Account Details Form | UI Discrepancy</t>
        </is>
      </c>
      <c r="V49" s="46" t="n"/>
      <c r="W49" s="46" t="n"/>
      <c r="X49" s="46" t="n"/>
      <c r="Y49" s="46" t="n"/>
      <c r="Z49" s="46" t="n"/>
      <c r="AA49" s="46" t="n"/>
      <c r="AB49" s="46" t="n"/>
      <c r="AC49" s="46" t="n"/>
      <c r="AD49" s="46" t="n"/>
      <c r="AE49" s="46" t="n"/>
      <c r="AF49" s="46" t="n"/>
      <c r="AG49" s="46" t="n"/>
      <c r="AH49" s="37" t="n"/>
      <c r="AN49" s="2" t="inlineStr">
        <is>
          <t>2021: SC 9.1</t>
        </is>
      </c>
      <c r="AO49" t="n">
        <v>0</v>
      </c>
      <c r="AP49" t="n">
        <v>0.3636363636363636</v>
      </c>
    </row>
    <row r="50" ht="15.75" customHeight="1" thickBot="1">
      <c r="T50" s="37" t="inlineStr">
        <is>
          <t>2021: SC 9.3</t>
        </is>
      </c>
      <c r="U50" s="48" t="inlineStr">
        <is>
          <t>SNAP-3317 : SNAP-3336 - Phoneix updated industry names (Change Request - No one update to us)</t>
        </is>
      </c>
      <c r="AN50" s="2" t="inlineStr">
        <is>
          <t>2021: SC 9.2</t>
        </is>
      </c>
      <c r="AO50" t="n">
        <v>0</v>
      </c>
      <c r="AP50" t="n">
        <v>0</v>
      </c>
    </row>
    <row r="51" ht="15.75" customHeight="1" thickBot="1">
      <c r="T51" s="37" t="n">
        <v>1</v>
      </c>
      <c r="AJ51" s="14" t="inlineStr">
        <is>
          <t>Sprint</t>
        </is>
      </c>
      <c r="AK51" s="15" t="inlineStr">
        <is>
          <t>V2 (1 dev)</t>
        </is>
      </c>
      <c r="AL51" s="16" t="inlineStr">
        <is>
          <t>LT (2 dev)</t>
        </is>
      </c>
      <c r="AN51" s="2" t="inlineStr">
        <is>
          <t>2021: SC 9.3</t>
        </is>
      </c>
      <c r="AO51" t="n">
        <v>0</v>
      </c>
      <c r="AP51" t="n">
        <v>0</v>
      </c>
    </row>
    <row r="52">
      <c r="T52" s="37" t="n">
        <v>2</v>
      </c>
      <c r="AJ52" s="17">
        <f>AJ42</f>
        <v/>
      </c>
      <c r="AK52" s="79">
        <f>AK42</f>
        <v/>
      </c>
      <c r="AL52" s="79">
        <f>AL42</f>
        <v/>
      </c>
      <c r="AN52" s="2" t="inlineStr">
        <is>
          <t>2021: SC 10.1</t>
        </is>
      </c>
      <c r="AO52" t="n">
        <v>0</v>
      </c>
      <c r="AP52" t="n">
        <v>0</v>
      </c>
    </row>
    <row r="53">
      <c r="T53" s="37" t="n">
        <v>3</v>
      </c>
      <c r="AJ53" s="17">
        <f>AJ43</f>
        <v/>
      </c>
      <c r="AK53" s="79">
        <f>AK43</f>
        <v/>
      </c>
      <c r="AL53" s="79">
        <f>AL43</f>
        <v/>
      </c>
      <c r="AN53" s="2" t="inlineStr">
        <is>
          <t>2021: SC 10.2</t>
        </is>
      </c>
      <c r="AO53" t="n">
        <v>0</v>
      </c>
      <c r="AP53" t="n">
        <v>0.1875</v>
      </c>
    </row>
    <row r="54">
      <c r="T54" s="37" t="n">
        <v>5</v>
      </c>
      <c r="AJ54" s="17">
        <f>AJ44</f>
        <v/>
      </c>
      <c r="AK54" s="79">
        <f>AK44</f>
        <v/>
      </c>
      <c r="AL54" s="79">
        <f>AL44</f>
        <v/>
      </c>
    </row>
    <row r="55">
      <c r="AJ55" s="17">
        <f>AJ45</f>
        <v/>
      </c>
      <c r="AK55" s="79">
        <f>AK45</f>
        <v/>
      </c>
      <c r="AL55" s="79">
        <f>AL45</f>
        <v/>
      </c>
    </row>
    <row r="56" ht="15.75" customHeight="1" thickBot="1">
      <c r="AJ56" s="17">
        <f>AJ46</f>
        <v/>
      </c>
      <c r="AK56" s="79">
        <f>AK46</f>
        <v/>
      </c>
      <c r="AL56" s="79">
        <f>AL46</f>
        <v/>
      </c>
    </row>
    <row r="57" ht="15.75" customHeight="1" thickBot="1">
      <c r="AJ57" s="17">
        <f>AJ47</f>
        <v/>
      </c>
      <c r="AK57" s="79">
        <f>AK47</f>
        <v/>
      </c>
      <c r="AL57" s="79">
        <f>AL47</f>
        <v/>
      </c>
      <c r="AN57" s="14" t="inlineStr">
        <is>
          <t>Sprint</t>
        </is>
      </c>
      <c r="AO57" s="15" t="inlineStr">
        <is>
          <t>V2 (1 dev)</t>
        </is>
      </c>
      <c r="AP57" s="16" t="inlineStr">
        <is>
          <t>LT (2 dev)</t>
        </is>
      </c>
    </row>
    <row r="58">
      <c r="AJ58" s="17" t="n"/>
      <c r="AK58" s="17" t="n"/>
      <c r="AL58" s="17" t="n"/>
      <c r="AN58" s="17">
        <f>AN48</f>
        <v/>
      </c>
      <c r="AO58" s="79">
        <f>AO48</f>
        <v/>
      </c>
      <c r="AP58" s="79">
        <f>AP48</f>
        <v/>
      </c>
    </row>
    <row r="59">
      <c r="AN59" s="17">
        <f>AN49</f>
        <v/>
      </c>
      <c r="AO59" s="79">
        <f>AO49</f>
        <v/>
      </c>
      <c r="AP59" s="79">
        <f>AP49</f>
        <v/>
      </c>
    </row>
    <row r="60">
      <c r="AN60" s="17">
        <f>AN50</f>
        <v/>
      </c>
      <c r="AO60" s="79">
        <f>AO50</f>
        <v/>
      </c>
      <c r="AP60" s="79">
        <f>AP50</f>
        <v/>
      </c>
    </row>
    <row r="61">
      <c r="AN61" s="17">
        <f>AN51</f>
        <v/>
      </c>
      <c r="AO61" s="79">
        <f>AO51</f>
        <v/>
      </c>
      <c r="AP61" s="79">
        <f>AP51</f>
        <v/>
      </c>
    </row>
    <row r="62">
      <c r="AN62" s="17">
        <f>AN52</f>
        <v/>
      </c>
      <c r="AO62" s="79">
        <f>AO52</f>
        <v/>
      </c>
      <c r="AP62" s="79">
        <f>AP52</f>
        <v/>
      </c>
    </row>
    <row r="63">
      <c r="AN63" s="17">
        <f>AN53</f>
        <v/>
      </c>
      <c r="AO63" s="79">
        <f>AO53</f>
        <v/>
      </c>
      <c r="AP63" s="79">
        <f>AP53</f>
        <v/>
      </c>
    </row>
    <row r="64">
      <c r="AN64" s="17" t="n"/>
      <c r="AO64" s="79" t="n"/>
      <c r="AP64" s="79"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AP61"/>
  <sheetViews>
    <sheetView showGridLines="0" zoomScale="85" zoomScaleNormal="85" workbookViewId="0">
      <pane ySplit="1" topLeftCell="A30" activePane="bottomLeft" state="frozen"/>
      <selection pane="bottomLeft" activeCell="S38" sqref="S38"/>
    </sheetView>
  </sheetViews>
  <sheetFormatPr baseColWidth="8" defaultRowHeight="15"/>
  <cols>
    <col width="23" customWidth="1" min="3" max="3"/>
    <col width="19" bestFit="1" customWidth="1" style="19" min="19" max="19"/>
    <col width="19" customWidth="1" style="65" min="20" max="20"/>
    <col width="21" bestFit="1" customWidth="1" style="48" min="21" max="21"/>
    <col width="9.140625" customWidth="1" style="48" min="22" max="24"/>
    <col width="16.5703125" bestFit="1" customWidth="1" style="48" min="25" max="25"/>
    <col width="12.28515625" bestFit="1" customWidth="1" style="48" min="26" max="26"/>
    <col width="11.85546875" bestFit="1" customWidth="1" style="48" min="27" max="27"/>
    <col width="10.28515625" bestFit="1" customWidth="1" style="48" min="28" max="28"/>
    <col width="14.140625" customWidth="1" style="48" min="29" max="29"/>
    <col width="10.28515625" customWidth="1" style="48" min="30" max="31"/>
    <col width="22.85546875" bestFit="1" customWidth="1" style="48" min="32" max="32"/>
    <col width="26.28515625" bestFit="1" customWidth="1" style="48" min="33" max="33"/>
    <col width="10.28515625" customWidth="1" style="19" min="34" max="34"/>
    <col width="17.7109375" bestFit="1" customWidth="1" min="36" max="36"/>
    <col width="10.140625" bestFit="1" customWidth="1" min="37" max="37"/>
    <col width="9.85546875" bestFit="1" customWidth="1" min="38" max="38"/>
    <col width="17.7109375" bestFit="1" customWidth="1" min="40" max="40"/>
    <col width="14.85546875" bestFit="1" customWidth="1" min="41" max="41"/>
    <col width="17.5703125" bestFit="1" customWidth="1" min="42" max="42"/>
  </cols>
  <sheetData>
    <row r="1" ht="15.75" customHeight="1" thickBot="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c r="AH1" s="23" t="n"/>
      <c r="AJ1" s="4" t="inlineStr">
        <is>
          <t>Row Labels</t>
        </is>
      </c>
      <c r="AK1" t="inlineStr">
        <is>
          <t>Sum of V2</t>
        </is>
      </c>
      <c r="AL1" t="inlineStr">
        <is>
          <t>Sum of LT</t>
        </is>
      </c>
      <c r="AN1" s="4" t="inlineStr">
        <is>
          <t>Row Labels</t>
        </is>
      </c>
      <c r="AO1" t="inlineStr">
        <is>
          <t>Sum of Rework</t>
        </is>
      </c>
      <c r="AP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S2" s="37" t="inlineStr">
        <is>
          <t>LONB  3/31- 4/14</t>
        </is>
      </c>
      <c r="T2" s="64">
        <f>(U2+Z2+AA2)</f>
        <v/>
      </c>
      <c r="U2" s="46">
        <f>U2-(AA2+AB2)</f>
        <v/>
      </c>
      <c r="V2" s="46" t="n">
        <v>24</v>
      </c>
      <c r="W2" s="46" t="n">
        <v>0</v>
      </c>
      <c r="X2" s="46" t="n">
        <v>18</v>
      </c>
      <c r="Y2" s="46" t="n">
        <v>0</v>
      </c>
      <c r="Z2" s="46" t="n">
        <v>0</v>
      </c>
      <c r="AA2" s="46" t="n">
        <v>0</v>
      </c>
      <c r="AB2" s="46">
        <f>V2-X2</f>
        <v/>
      </c>
      <c r="AC2" s="47">
        <f>X2/V2</f>
        <v/>
      </c>
      <c r="AD2" s="47">
        <f>Y2/U2</f>
        <v/>
      </c>
      <c r="AE2" s="47">
        <f>Z2/U2</f>
        <v/>
      </c>
      <c r="AF2" s="47">
        <f>AA2/U2</f>
        <v/>
      </c>
      <c r="AG2" s="47">
        <f>U2/U2</f>
        <v/>
      </c>
      <c r="AH2" s="23" t="n"/>
      <c r="AJ2" s="2" t="inlineStr">
        <is>
          <t>LONB 5/25 - 6/08</t>
        </is>
      </c>
      <c r="AK2" t="n">
        <v>35</v>
      </c>
      <c r="AL2" t="n">
        <v>7</v>
      </c>
      <c r="AN2" s="2" t="inlineStr">
        <is>
          <t>LONB 5/25 - 6/08</t>
        </is>
      </c>
      <c r="AO2" t="n">
        <v>12</v>
      </c>
      <c r="AP2" t="n">
        <v>23</v>
      </c>
    </row>
    <row r="3" ht="15" customHeight="1">
      <c r="B3" s="17" t="n"/>
      <c r="Q3" s="10" t="n"/>
      <c r="S3" s="37" t="inlineStr">
        <is>
          <t>LONB 4/14 - 4/28</t>
        </is>
      </c>
      <c r="T3" s="64">
        <f>(U3+Z3+AA3)</f>
        <v/>
      </c>
      <c r="U3" s="46" t="n">
        <v>32</v>
      </c>
      <c r="V3" s="46" t="n">
        <v>32</v>
      </c>
      <c r="W3" s="46" t="n">
        <v>0</v>
      </c>
      <c r="X3" s="46" t="n">
        <v>14</v>
      </c>
      <c r="Y3" s="46" t="n">
        <v>0</v>
      </c>
      <c r="Z3" s="46" t="n">
        <v>4</v>
      </c>
      <c r="AA3" s="46" t="n">
        <v>0</v>
      </c>
      <c r="AB3" s="46">
        <f>V3-X3</f>
        <v/>
      </c>
      <c r="AC3" s="47">
        <f>X3/V3</f>
        <v/>
      </c>
      <c r="AD3" s="47">
        <f>Y3/U3</f>
        <v/>
      </c>
      <c r="AE3" s="47">
        <f>Z3/U3</f>
        <v/>
      </c>
      <c r="AF3" s="47">
        <f>AA3/U3</f>
        <v/>
      </c>
      <c r="AG3" s="47">
        <f>U3/U3</f>
        <v/>
      </c>
      <c r="AH3" s="23" t="n"/>
      <c r="AJ3" s="2" t="inlineStr">
        <is>
          <t>LONB 6/08 - 6/22</t>
        </is>
      </c>
      <c r="AK3" t="n">
        <v>27</v>
      </c>
      <c r="AL3" t="n">
        <v>23</v>
      </c>
      <c r="AN3" s="2" t="inlineStr">
        <is>
          <t>LONB 6/08 - 6/22</t>
        </is>
      </c>
      <c r="AO3" t="n">
        <v>8</v>
      </c>
      <c r="AP3" t="n">
        <v>19</v>
      </c>
    </row>
    <row r="4" ht="15" customHeight="1">
      <c r="B4" s="17" t="n"/>
      <c r="Q4" s="10" t="n"/>
      <c r="S4" s="37" t="inlineStr">
        <is>
          <t>LONB 4/28 - 5/12</t>
        </is>
      </c>
      <c r="T4" s="64">
        <f>(U4+Z4+AA4)</f>
        <v/>
      </c>
      <c r="U4" s="46" t="n">
        <v>32</v>
      </c>
      <c r="V4" s="46" t="n">
        <v>32</v>
      </c>
      <c r="W4" s="46" t="n">
        <v>0</v>
      </c>
      <c r="X4" s="46" t="n">
        <v>5</v>
      </c>
      <c r="Y4" s="46" t="n">
        <v>0</v>
      </c>
      <c r="Z4" s="46" t="n">
        <v>0</v>
      </c>
      <c r="AA4" s="46" t="n">
        <v>0</v>
      </c>
      <c r="AB4" s="46">
        <f>V4-X4</f>
        <v/>
      </c>
      <c r="AC4" s="47">
        <f>X4/V4</f>
        <v/>
      </c>
      <c r="AD4" s="47">
        <f>Y4/U4</f>
        <v/>
      </c>
      <c r="AE4" s="47">
        <f>Z4/U4</f>
        <v/>
      </c>
      <c r="AF4" s="47">
        <f>AA4/U4</f>
        <v/>
      </c>
      <c r="AG4" s="47">
        <f>V2/U2</f>
        <v/>
      </c>
      <c r="AH4" s="23" t="n"/>
      <c r="AJ4" s="2" t="inlineStr">
        <is>
          <t>LONB 6/22 - 7/06</t>
        </is>
      </c>
      <c r="AK4" t="n">
        <v>21</v>
      </c>
      <c r="AL4" t="n">
        <v>34</v>
      </c>
      <c r="AN4" s="2" t="inlineStr">
        <is>
          <t>LONB 6/22 - 7/06</t>
        </is>
      </c>
      <c r="AO4" t="n">
        <v>3</v>
      </c>
      <c r="AP4" t="n">
        <v>18</v>
      </c>
    </row>
    <row r="5">
      <c r="B5" s="84" t="n"/>
      <c r="C5" s="86" t="n"/>
      <c r="D5" s="86" t="n"/>
      <c r="E5" s="86" t="n"/>
      <c r="F5" s="86" t="n"/>
      <c r="G5" s="86" t="n"/>
      <c r="H5" s="86" t="n"/>
      <c r="I5" s="86" t="n"/>
      <c r="J5" s="86" t="n"/>
      <c r="K5" s="86" t="n"/>
      <c r="L5" s="86" t="n"/>
      <c r="M5" s="86" t="n"/>
      <c r="N5" s="86" t="n"/>
      <c r="O5" s="86" t="n"/>
      <c r="P5" s="86" t="n"/>
      <c r="Q5" s="92" t="n"/>
      <c r="S5" s="37" t="inlineStr">
        <is>
          <t>LONB 5/12 - 5/26</t>
        </is>
      </c>
      <c r="T5" s="64">
        <f>(U5+Z5+AA5)</f>
        <v/>
      </c>
      <c r="U5" s="46" t="n">
        <v>14</v>
      </c>
      <c r="V5" s="46" t="n">
        <v>14</v>
      </c>
      <c r="W5" s="46" t="n">
        <v>0</v>
      </c>
      <c r="X5" s="46" t="n">
        <v>10</v>
      </c>
      <c r="Y5" s="46" t="n">
        <v>0</v>
      </c>
      <c r="Z5" s="46" t="n">
        <v>10</v>
      </c>
      <c r="AA5" s="46" t="n">
        <v>5</v>
      </c>
      <c r="AB5" s="46">
        <f>V5-X5</f>
        <v/>
      </c>
      <c r="AC5" s="47">
        <f>X5/V5</f>
        <v/>
      </c>
      <c r="AD5" s="47">
        <f>Y5/U5</f>
        <v/>
      </c>
      <c r="AE5" s="47">
        <f>Z5/U5</f>
        <v/>
      </c>
      <c r="AF5" s="47">
        <f>AA5/U5</f>
        <v/>
      </c>
      <c r="AG5" s="47">
        <f>V3/U3</f>
        <v/>
      </c>
      <c r="AH5" s="23" t="n"/>
      <c r="AJ5" s="2" t="inlineStr">
        <is>
          <t>LONB 7/06 - 7/20</t>
        </is>
      </c>
      <c r="AK5" t="n">
        <v>26</v>
      </c>
      <c r="AL5" t="n">
        <v>25</v>
      </c>
      <c r="AN5" s="2" t="inlineStr">
        <is>
          <t>LONB 7/06 - 7/20</t>
        </is>
      </c>
      <c r="AO5" t="n">
        <v>11</v>
      </c>
      <c r="AP5" t="n">
        <v>15</v>
      </c>
    </row>
    <row r="6" ht="15.75" customHeight="1">
      <c r="B6" s="85" t="n"/>
      <c r="C6" s="100" t="inlineStr">
        <is>
          <t>Project Name</t>
        </is>
      </c>
      <c r="D6" s="310" t="inlineStr">
        <is>
          <t>LendingTree</t>
        </is>
      </c>
      <c r="H6" s="310" t="n"/>
      <c r="I6" s="310" t="n"/>
      <c r="J6" s="88" t="n"/>
      <c r="K6" s="88" t="n"/>
      <c r="L6" s="307" t="inlineStr">
        <is>
          <t>Status Date</t>
        </is>
      </c>
      <c r="N6" s="312" t="n">
        <v>44565</v>
      </c>
      <c r="P6" s="87" t="n"/>
      <c r="Q6" s="93" t="n"/>
      <c r="S6" s="37" t="inlineStr">
        <is>
          <t>LONB 5/26 - 6/9</t>
        </is>
      </c>
      <c r="T6" s="64">
        <f>(U6+Z6+AA6)</f>
        <v/>
      </c>
      <c r="U6" s="46" t="n">
        <v>25</v>
      </c>
      <c r="V6" s="46" t="n">
        <v>25</v>
      </c>
      <c r="W6" s="46" t="n">
        <v>0</v>
      </c>
      <c r="X6" s="46" t="n">
        <v>5</v>
      </c>
      <c r="Y6" s="46" t="n">
        <v>0</v>
      </c>
      <c r="Z6" s="46" t="n">
        <v>1</v>
      </c>
      <c r="AA6" s="46" t="n">
        <v>0</v>
      </c>
      <c r="AB6" s="46">
        <f>V6-X6</f>
        <v/>
      </c>
      <c r="AC6" s="47">
        <f>X6/V6</f>
        <v/>
      </c>
      <c r="AD6" s="47">
        <f>Y6/U6</f>
        <v/>
      </c>
      <c r="AE6" s="47">
        <f>Z6/U6</f>
        <v/>
      </c>
      <c r="AF6" s="47">
        <f>AA6/U6</f>
        <v/>
      </c>
      <c r="AG6" s="47">
        <f>V4/U4</f>
        <v/>
      </c>
      <c r="AH6" s="23" t="n"/>
      <c r="AJ6" s="2" t="inlineStr">
        <is>
          <t>LONB 7/20 - 8/03</t>
        </is>
      </c>
      <c r="AK6" t="n">
        <v>38</v>
      </c>
      <c r="AL6" t="n">
        <v>15</v>
      </c>
      <c r="AN6" s="2" t="inlineStr">
        <is>
          <t>LONB 7/20 - 8/03</t>
        </is>
      </c>
      <c r="AO6" t="n">
        <v>8</v>
      </c>
      <c r="AP6" t="n">
        <v>30</v>
      </c>
    </row>
    <row r="7">
      <c r="B7" s="85" t="n"/>
      <c r="C7" s="100" t="inlineStr">
        <is>
          <t>Sub Project</t>
        </is>
      </c>
      <c r="D7" s="310" t="inlineStr">
        <is>
          <t>Lender Onboarding</t>
        </is>
      </c>
      <c r="H7" s="101" t="n"/>
      <c r="I7" s="101" t="n"/>
      <c r="J7" s="89" t="n"/>
      <c r="K7" s="89" t="n"/>
      <c r="L7" s="90" t="n"/>
      <c r="M7" s="90" t="n"/>
      <c r="N7" s="90" t="n"/>
      <c r="O7" s="90" t="n"/>
      <c r="P7" s="87" t="n"/>
      <c r="Q7" s="93" t="n"/>
      <c r="S7" s="37" t="inlineStr">
        <is>
          <t>LONB 6/9 - 6/23</t>
        </is>
      </c>
      <c r="T7" s="64">
        <f>(U7+Z7+AA7)</f>
        <v/>
      </c>
      <c r="U7" s="46" t="n">
        <v>30</v>
      </c>
      <c r="V7" s="46" t="n">
        <v>30</v>
      </c>
      <c r="W7" s="46" t="n">
        <v>0</v>
      </c>
      <c r="X7" s="46" t="n">
        <v>6</v>
      </c>
      <c r="Y7" s="46" t="n">
        <v>0</v>
      </c>
      <c r="Z7" s="46" t="n">
        <v>0</v>
      </c>
      <c r="AA7" s="46" t="n">
        <v>0</v>
      </c>
      <c r="AB7" s="46">
        <f>V7-X7</f>
        <v/>
      </c>
      <c r="AC7" s="47">
        <f>X7/V7</f>
        <v/>
      </c>
      <c r="AD7" s="47">
        <f>Y7/U7</f>
        <v/>
      </c>
      <c r="AE7" s="47">
        <f>Z7/U7</f>
        <v/>
      </c>
      <c r="AF7" s="47">
        <f>AA7/U7</f>
        <v/>
      </c>
      <c r="AG7" s="47">
        <f>V5/U5</f>
        <v/>
      </c>
      <c r="AH7" s="23" t="n"/>
      <c r="AJ7" s="2" t="inlineStr">
        <is>
          <t>LONB 8/03 - 8/17</t>
        </is>
      </c>
      <c r="AK7" t="n">
        <v>23</v>
      </c>
      <c r="AL7" t="n">
        <v>46</v>
      </c>
      <c r="AN7" s="2" t="inlineStr">
        <is>
          <t>LONB 8/03 - 8/17</t>
        </is>
      </c>
      <c r="AO7" t="n">
        <v>5</v>
      </c>
      <c r="AP7" t="n">
        <v>18</v>
      </c>
    </row>
    <row r="8" ht="15.75" customHeight="1">
      <c r="B8" s="85" t="n"/>
      <c r="C8" s="100" t="inlineStr">
        <is>
          <t>Delivery Manager</t>
        </is>
      </c>
      <c r="D8" s="310" t="inlineStr">
        <is>
          <t>Rajneesh</t>
        </is>
      </c>
      <c r="H8" s="87" t="n"/>
      <c r="I8" s="87" t="n"/>
      <c r="J8" s="87" t="n"/>
      <c r="K8" s="87" t="n"/>
      <c r="L8" s="307" t="inlineStr">
        <is>
          <t>Overall Status</t>
        </is>
      </c>
      <c r="N8" s="103" t="inlineStr">
        <is>
          <t>Green</t>
        </is>
      </c>
      <c r="O8" s="90" t="n"/>
      <c r="P8" s="87" t="n"/>
      <c r="Q8" s="93" t="n"/>
      <c r="S8" s="37" t="inlineStr">
        <is>
          <t>LONB 6/23 - 7/7</t>
        </is>
      </c>
      <c r="T8" s="64">
        <f>(U8+Z8+AA8)</f>
        <v/>
      </c>
      <c r="U8" s="46" t="n">
        <v>18</v>
      </c>
      <c r="V8" s="46" t="n">
        <v>18</v>
      </c>
      <c r="W8" s="46" t="n">
        <v>2</v>
      </c>
      <c r="X8" s="46" t="n">
        <v>6</v>
      </c>
      <c r="Y8" s="46" t="n">
        <v>0</v>
      </c>
      <c r="Z8" s="46" t="n">
        <v>0</v>
      </c>
      <c r="AA8" s="46" t="n">
        <v>4</v>
      </c>
      <c r="AB8" s="46">
        <f>V8-X8</f>
        <v/>
      </c>
      <c r="AC8" s="47">
        <f>X8/V8</f>
        <v/>
      </c>
      <c r="AD8" s="47">
        <f>Y8/U8</f>
        <v/>
      </c>
      <c r="AE8" s="47">
        <f>Z8/U8</f>
        <v/>
      </c>
      <c r="AF8" s="47">
        <f>AA8/U8</f>
        <v/>
      </c>
      <c r="AG8" s="47">
        <f>V6/U6</f>
        <v/>
      </c>
      <c r="AH8" s="23" t="n"/>
      <c r="AJ8" s="2" t="inlineStr">
        <is>
          <t>LONB 8/017 - 8/31</t>
        </is>
      </c>
      <c r="AK8" t="n">
        <v>17</v>
      </c>
      <c r="AL8" t="n">
        <v>14</v>
      </c>
      <c r="AN8" s="2" t="inlineStr">
        <is>
          <t>LONB 8/017 - 8/31</t>
        </is>
      </c>
      <c r="AO8" t="n">
        <v>0</v>
      </c>
      <c r="AP8" t="n">
        <v>17</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LONB 7/7 - 7/21</t>
        </is>
      </c>
      <c r="T9" s="64">
        <f>(U9+Z9+AA9)</f>
        <v/>
      </c>
      <c r="U9" s="46" t="n">
        <v>26</v>
      </c>
      <c r="V9" s="46" t="n">
        <v>22</v>
      </c>
      <c r="W9" s="46" t="n">
        <v>4</v>
      </c>
      <c r="X9" s="46" t="n">
        <v>0</v>
      </c>
      <c r="Y9" s="46" t="n">
        <v>0</v>
      </c>
      <c r="Z9" s="46" t="n">
        <v>8</v>
      </c>
      <c r="AA9" s="46" t="n">
        <v>0</v>
      </c>
      <c r="AB9" s="46">
        <f>V9-X9</f>
        <v/>
      </c>
      <c r="AC9" s="47">
        <f>X9/V9</f>
        <v/>
      </c>
      <c r="AD9" s="47">
        <f>Y9/U9</f>
        <v/>
      </c>
      <c r="AE9" s="47">
        <f>Z9/U9</f>
        <v/>
      </c>
      <c r="AF9" s="47">
        <f>AA9/U9</f>
        <v/>
      </c>
      <c r="AG9" s="47">
        <f>V7/U7</f>
        <v/>
      </c>
      <c r="AH9" s="23" t="n"/>
      <c r="AJ9" s="19" t="inlineStr">
        <is>
          <t>Grand Total</t>
        </is>
      </c>
      <c r="AK9" s="19" t="n">
        <v>187</v>
      </c>
      <c r="AL9" s="19" t="n">
        <v>164</v>
      </c>
      <c r="AN9" s="19" t="inlineStr">
        <is>
          <t>Grand Total</t>
        </is>
      </c>
      <c r="AO9" s="19" t="n">
        <v>47</v>
      </c>
      <c r="AP9" s="19" t="n">
        <v>140</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LONB 7/21 - 8/4</t>
        </is>
      </c>
      <c r="T10" s="64">
        <f>(U10+Z10+AA10)</f>
        <v/>
      </c>
      <c r="U10" s="46" t="n">
        <v>30</v>
      </c>
      <c r="V10" s="46" t="n">
        <v>26</v>
      </c>
      <c r="W10" s="46" t="n">
        <v>4</v>
      </c>
      <c r="X10" s="46" t="n">
        <v>2</v>
      </c>
      <c r="Y10" s="46" t="n">
        <v>4</v>
      </c>
      <c r="Z10" s="46" t="n">
        <v>2</v>
      </c>
      <c r="AA10" s="46" t="n">
        <v>4</v>
      </c>
      <c r="AB10" s="46">
        <f>V10-X10</f>
        <v/>
      </c>
      <c r="AC10" s="47">
        <f>X10/V10</f>
        <v/>
      </c>
      <c r="AD10" s="47">
        <f>Y10/U10</f>
        <v/>
      </c>
      <c r="AE10" s="47">
        <f>Z10/U10</f>
        <v/>
      </c>
      <c r="AF10" s="47">
        <f>AA10/U10</f>
        <v/>
      </c>
      <c r="AG10" s="47">
        <f>V8/U8</f>
        <v/>
      </c>
      <c r="AH10" s="23" t="n"/>
      <c r="AJ10" s="2" t="n"/>
      <c r="AN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S11" s="37" t="inlineStr">
        <is>
          <t>LONB 8/4 - 8/18</t>
        </is>
      </c>
      <c r="T11" s="64">
        <f>(U11+Z11+AA11)</f>
        <v/>
      </c>
      <c r="U11" s="46" t="n">
        <v>26</v>
      </c>
      <c r="V11" s="46" t="n">
        <v>16</v>
      </c>
      <c r="W11" s="46" t="n">
        <v>10</v>
      </c>
      <c r="X11" s="46" t="n">
        <v>2</v>
      </c>
      <c r="Y11" s="46" t="n">
        <v>5</v>
      </c>
      <c r="Z11" s="46" t="n">
        <v>0</v>
      </c>
      <c r="AA11" s="46" t="n">
        <v>3</v>
      </c>
      <c r="AB11" s="46">
        <f>V11-X11</f>
        <v/>
      </c>
      <c r="AC11" s="47">
        <f>X11/V11</f>
        <v/>
      </c>
      <c r="AD11" s="47">
        <f>Y11/U11</f>
        <v/>
      </c>
      <c r="AE11" s="47">
        <f>Z11/U11</f>
        <v/>
      </c>
      <c r="AF11" s="47">
        <f>AA11/U11</f>
        <v/>
      </c>
      <c r="AG11" s="47">
        <f>V9/U9</f>
        <v/>
      </c>
      <c r="AH11" s="23" t="n"/>
      <c r="AJ11" s="2" t="n"/>
      <c r="AN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LONB 8/18 - 9/1</t>
        </is>
      </c>
      <c r="T12" s="64">
        <f>(U12+Z12+AA12)</f>
        <v/>
      </c>
      <c r="U12" s="46" t="n">
        <v>15</v>
      </c>
      <c r="V12" s="46" t="n">
        <v>12</v>
      </c>
      <c r="W12" s="46" t="n">
        <v>3</v>
      </c>
      <c r="X12" s="46" t="n">
        <v>2</v>
      </c>
      <c r="Y12" s="46" t="n">
        <v>7</v>
      </c>
      <c r="Z12" s="46" t="n">
        <v>4</v>
      </c>
      <c r="AA12" s="46" t="n">
        <v>0</v>
      </c>
      <c r="AB12" s="46">
        <f>V12-X12</f>
        <v/>
      </c>
      <c r="AC12" s="47">
        <f>X12/V12</f>
        <v/>
      </c>
      <c r="AD12" s="47">
        <f>Y12/U12</f>
        <v/>
      </c>
      <c r="AE12" s="47">
        <f>Z12/U12</f>
        <v/>
      </c>
      <c r="AF12" s="47">
        <f>AA12/U12</f>
        <v/>
      </c>
      <c r="AG12" s="47">
        <f>V10/U10</f>
        <v/>
      </c>
      <c r="AH12" s="23" t="n"/>
      <c r="AJ12" s="27" t="inlineStr">
        <is>
          <t>Sprint</t>
        </is>
      </c>
      <c r="AK12" s="28" t="inlineStr">
        <is>
          <t>V2</t>
        </is>
      </c>
      <c r="AL12" s="29" t="inlineStr">
        <is>
          <t>LT</t>
        </is>
      </c>
      <c r="AN12" s="27" t="inlineStr">
        <is>
          <t>QA Passed</t>
        </is>
      </c>
      <c r="AO12" s="29">
        <f>GETPIVOTDATA("Sum of QA Passed",$AN$1)</f>
        <v/>
      </c>
    </row>
    <row r="13" ht="15.75" customHeight="1" thickBot="1">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LONB 9/1 - 9/15</t>
        </is>
      </c>
      <c r="T13" s="64">
        <f>(U13+Z13+AA13)</f>
        <v/>
      </c>
      <c r="U13" s="46" t="n">
        <v>27</v>
      </c>
      <c r="V13" s="46" t="n">
        <v>27</v>
      </c>
      <c r="W13" s="46" t="n">
        <v>0</v>
      </c>
      <c r="X13" s="46" t="n">
        <v>5</v>
      </c>
      <c r="Y13" s="46" t="n">
        <v>2</v>
      </c>
      <c r="Z13" s="46" t="n">
        <v>3</v>
      </c>
      <c r="AA13" s="46" t="n">
        <v>0</v>
      </c>
      <c r="AB13" s="46">
        <f>V13-X13</f>
        <v/>
      </c>
      <c r="AC13" s="47">
        <f>X13/V13</f>
        <v/>
      </c>
      <c r="AD13" s="47">
        <f>Y13/U13</f>
        <v/>
      </c>
      <c r="AE13" s="47">
        <f>Z13/U13</f>
        <v/>
      </c>
      <c r="AF13" s="47">
        <f>AA13/U13</f>
        <v/>
      </c>
      <c r="AG13" s="47">
        <f>V11/U11</f>
        <v/>
      </c>
      <c r="AH13" s="23" t="n"/>
      <c r="AJ13" s="9">
        <f>AJ2</f>
        <v/>
      </c>
      <c r="AK13">
        <f>AK2</f>
        <v/>
      </c>
      <c r="AL13" s="10">
        <f>AL2</f>
        <v/>
      </c>
      <c r="AN13" s="11" t="inlineStr">
        <is>
          <t>Rework</t>
        </is>
      </c>
      <c r="AO13" s="13">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LONB 9/15 - 9/29</t>
        </is>
      </c>
      <c r="T14" s="64">
        <f>(U14+Z14+AA14)</f>
        <v/>
      </c>
      <c r="U14" s="46" t="n">
        <v>32</v>
      </c>
      <c r="V14" s="46" t="n">
        <v>26</v>
      </c>
      <c r="W14" s="46" t="n">
        <v>6</v>
      </c>
      <c r="X14" s="46" t="n">
        <v>4</v>
      </c>
      <c r="Y14" s="46" t="n">
        <v>0</v>
      </c>
      <c r="Z14" s="46" t="n">
        <v>0</v>
      </c>
      <c r="AA14" s="46" t="n">
        <v>0</v>
      </c>
      <c r="AB14" s="46">
        <f>V14-X14</f>
        <v/>
      </c>
      <c r="AC14" s="47">
        <f>X14/V14</f>
        <v/>
      </c>
      <c r="AD14" s="47">
        <f>Y14/U14</f>
        <v/>
      </c>
      <c r="AE14" s="47">
        <f>Z14/U14</f>
        <v/>
      </c>
      <c r="AF14" s="47">
        <f>AA14/U14</f>
        <v/>
      </c>
      <c r="AG14" s="47">
        <f>V12/U12</f>
        <v/>
      </c>
      <c r="AH14" s="23" t="n"/>
      <c r="AJ14" s="9">
        <f>AJ3</f>
        <v/>
      </c>
      <c r="AK14">
        <f>AK3</f>
        <v/>
      </c>
      <c r="AL14" s="10">
        <f>AL3</f>
        <v/>
      </c>
      <c r="AN14" s="2" t="n"/>
    </row>
    <row r="15">
      <c r="B15" s="94" t="n"/>
      <c r="C15" s="95" t="n"/>
      <c r="D15" s="96" t="n"/>
      <c r="E15" s="96" t="n"/>
      <c r="F15" s="96" t="n"/>
      <c r="G15" s="96" t="n"/>
      <c r="H15" s="96" t="n"/>
      <c r="I15" s="96" t="n"/>
      <c r="J15" s="96" t="n"/>
      <c r="K15" s="96" t="n"/>
      <c r="L15" s="96" t="n"/>
      <c r="M15" s="96" t="n"/>
      <c r="N15" s="97" t="n"/>
      <c r="O15" s="98" t="n"/>
      <c r="P15" s="98" t="n"/>
      <c r="Q15" s="99" t="n"/>
      <c r="S15" s="37" t="inlineStr">
        <is>
          <t>LONB 9/29 - 10/13</t>
        </is>
      </c>
      <c r="T15" s="64">
        <f>(U15+Z15+AA15)</f>
        <v/>
      </c>
      <c r="U15" s="46" t="n">
        <v>31</v>
      </c>
      <c r="V15" s="46" t="n">
        <v>19</v>
      </c>
      <c r="W15" s="46" t="n">
        <v>12</v>
      </c>
      <c r="X15" s="46" t="n">
        <v>0</v>
      </c>
      <c r="Y15" s="46" t="n">
        <v>0</v>
      </c>
      <c r="Z15" s="46" t="n">
        <v>2</v>
      </c>
      <c r="AA15" s="46" t="n">
        <v>0</v>
      </c>
      <c r="AB15" s="46">
        <f>V15-X15</f>
        <v/>
      </c>
      <c r="AC15" s="76">
        <f>X15/V15</f>
        <v/>
      </c>
      <c r="AD15" s="76">
        <f>Y15/U15</f>
        <v/>
      </c>
      <c r="AE15" s="76">
        <f>Z15/U15</f>
        <v/>
      </c>
      <c r="AF15" s="76">
        <f>AA15/U15</f>
        <v/>
      </c>
      <c r="AG15" s="47">
        <f>V13/U13</f>
        <v/>
      </c>
      <c r="AJ15" s="9">
        <f>AJ4</f>
        <v/>
      </c>
      <c r="AK15">
        <f>AK4</f>
        <v/>
      </c>
      <c r="AL15" s="10">
        <f>AL4</f>
        <v/>
      </c>
    </row>
    <row r="16">
      <c r="S16" s="37" t="inlineStr">
        <is>
          <t>LONB 10/13 - 10/27</t>
        </is>
      </c>
      <c r="T16" s="74">
        <f>(U16+Z16+AA16)</f>
        <v/>
      </c>
      <c r="U16" s="72" t="n">
        <v>35</v>
      </c>
      <c r="V16" s="72" t="n">
        <v>19</v>
      </c>
      <c r="W16" s="72" t="n">
        <v>11</v>
      </c>
      <c r="X16" s="72" t="n">
        <v>3</v>
      </c>
      <c r="Y16" s="72" t="n">
        <v>7</v>
      </c>
      <c r="Z16" s="72" t="n">
        <v>3</v>
      </c>
      <c r="AA16" s="72" t="n">
        <v>14</v>
      </c>
      <c r="AB16" s="70">
        <f>V16-X16</f>
        <v/>
      </c>
      <c r="AC16" s="53">
        <f>X16/V16</f>
        <v/>
      </c>
      <c r="AD16" s="53">
        <f>Y16/U16</f>
        <v/>
      </c>
      <c r="AE16" s="53">
        <f>Z16/U16</f>
        <v/>
      </c>
      <c r="AF16" s="53">
        <f>AA16/U16</f>
        <v/>
      </c>
      <c r="AG16" s="113">
        <f>V14/U14</f>
        <v/>
      </c>
      <c r="AJ16" s="9">
        <f>AJ5</f>
        <v/>
      </c>
      <c r="AK16">
        <f>AK5</f>
        <v/>
      </c>
      <c r="AL16" s="10">
        <f>AL5</f>
        <v/>
      </c>
    </row>
    <row r="17">
      <c r="S17" s="73" t="inlineStr">
        <is>
          <t>LONB 10/27 - 11/11</t>
        </is>
      </c>
      <c r="T17" s="64" t="n">
        <v>34</v>
      </c>
      <c r="U17" s="46" t="n">
        <v>52</v>
      </c>
      <c r="V17" s="46" t="n">
        <v>33</v>
      </c>
      <c r="W17" s="46" t="n">
        <v>19</v>
      </c>
      <c r="X17" s="46" t="n">
        <v>5</v>
      </c>
      <c r="Y17" s="46" t="n">
        <v>5</v>
      </c>
      <c r="Z17" s="46" t="n">
        <v>0</v>
      </c>
      <c r="AA17" s="46" t="n">
        <v>0</v>
      </c>
      <c r="AB17" s="110">
        <f>V17-X17</f>
        <v/>
      </c>
      <c r="AC17" s="53">
        <f>X17/V17</f>
        <v/>
      </c>
      <c r="AD17" s="53">
        <f>Y17/U17</f>
        <v/>
      </c>
      <c r="AE17" s="53">
        <f>Z17/U17</f>
        <v/>
      </c>
      <c r="AF17" s="53">
        <f>AA17/U17</f>
        <v/>
      </c>
      <c r="AG17" s="113">
        <f>V15/U15</f>
        <v/>
      </c>
      <c r="AJ17" s="9">
        <f>AJ6</f>
        <v/>
      </c>
      <c r="AK17">
        <f>AK6</f>
        <v/>
      </c>
      <c r="AL17" s="10">
        <f>AL6</f>
        <v/>
      </c>
    </row>
    <row r="18">
      <c r="S18" s="80" t="inlineStr">
        <is>
          <t>LONB 11/11 - 11/24</t>
        </is>
      </c>
      <c r="T18" s="74" t="n">
        <v>35</v>
      </c>
      <c r="U18" s="72" t="n">
        <v>19</v>
      </c>
      <c r="V18" s="72" t="n">
        <v>10</v>
      </c>
      <c r="W18" s="72" t="n">
        <v>9</v>
      </c>
      <c r="X18" s="72" t="n">
        <v>5</v>
      </c>
      <c r="Y18" s="72" t="n">
        <v>2</v>
      </c>
      <c r="Z18" s="72" t="n">
        <v>18</v>
      </c>
      <c r="AA18" s="72" t="n">
        <v>5</v>
      </c>
      <c r="AB18" s="111">
        <f>V18-X18</f>
        <v/>
      </c>
      <c r="AC18" s="53">
        <f>X18/V18</f>
        <v/>
      </c>
      <c r="AD18" s="53">
        <f>Y18/U18</f>
        <v/>
      </c>
      <c r="AE18" s="53">
        <f>Z18/U18</f>
        <v/>
      </c>
      <c r="AF18" s="53">
        <f>AA18/U18</f>
        <v/>
      </c>
      <c r="AG18" s="113">
        <f>V16/U16</f>
        <v/>
      </c>
      <c r="AJ18" s="9">
        <f>AJ7</f>
        <v/>
      </c>
      <c r="AK18">
        <f>AK7</f>
        <v/>
      </c>
      <c r="AL18" s="10">
        <f>AL7</f>
        <v/>
      </c>
    </row>
    <row r="19" ht="15.75" customHeight="1" thickBot="1">
      <c r="S19" s="31" t="inlineStr">
        <is>
          <t>LONB 11/24 - 12/8</t>
        </is>
      </c>
      <c r="T19" s="81" t="n">
        <v>24</v>
      </c>
      <c r="U19" s="52" t="n">
        <v>23</v>
      </c>
      <c r="V19" s="52" t="n">
        <v>20</v>
      </c>
      <c r="W19" s="52" t="n">
        <v>3</v>
      </c>
      <c r="X19" s="52" t="n">
        <v>1</v>
      </c>
      <c r="Y19" s="52" t="n">
        <v>0</v>
      </c>
      <c r="Z19" s="52" t="n">
        <v>1</v>
      </c>
      <c r="AA19" s="52" t="n">
        <v>0</v>
      </c>
      <c r="AB19" s="112">
        <f>V19-X19</f>
        <v/>
      </c>
      <c r="AC19" s="53">
        <f>X19/V19</f>
        <v/>
      </c>
      <c r="AD19" s="53">
        <f>Y19/U19</f>
        <v/>
      </c>
      <c r="AE19" s="53">
        <f>Z19/U19</f>
        <v/>
      </c>
      <c r="AF19" s="53">
        <f>AA19/U19</f>
        <v/>
      </c>
      <c r="AG19" s="113">
        <f>V17/U17</f>
        <v/>
      </c>
      <c r="AJ19" s="11">
        <f>AJ8</f>
        <v/>
      </c>
      <c r="AK19" s="12">
        <f>AK8</f>
        <v/>
      </c>
      <c r="AL19" s="13">
        <f>AL8</f>
        <v/>
      </c>
    </row>
    <row r="20">
      <c r="S20" s="31" t="inlineStr">
        <is>
          <t>LONB 12/8 - 12/22</t>
        </is>
      </c>
      <c r="T20" s="81" t="n">
        <v>26</v>
      </c>
      <c r="U20" s="52" t="n">
        <v>26</v>
      </c>
      <c r="V20" s="52" t="n">
        <v>21</v>
      </c>
      <c r="W20" s="52" t="n">
        <v>5</v>
      </c>
      <c r="X20" s="52" t="n">
        <v>0</v>
      </c>
      <c r="Y20" s="52" t="n">
        <v>3</v>
      </c>
      <c r="Z20" s="118" t="n">
        <v>0</v>
      </c>
      <c r="AA20" s="52" t="n">
        <v>0</v>
      </c>
      <c r="AB20" s="112">
        <f>V20-X20</f>
        <v/>
      </c>
      <c r="AC20" s="53">
        <f>X20/V20</f>
        <v/>
      </c>
      <c r="AD20" s="53">
        <f>Y20/U20</f>
        <v/>
      </c>
      <c r="AE20" s="53">
        <f>Z20/U20</f>
        <v/>
      </c>
      <c r="AF20" s="53">
        <f>AA20/U20</f>
        <v/>
      </c>
      <c r="AG20" s="113">
        <f>V18/U18</f>
        <v/>
      </c>
    </row>
    <row r="21">
      <c r="S21" s="37" t="inlineStr">
        <is>
          <t>LONB 12/2 - 1/5</t>
        </is>
      </c>
      <c r="T21" s="64" t="n">
        <v>18</v>
      </c>
      <c r="U21" s="46" t="n">
        <v>18</v>
      </c>
      <c r="V21" s="46" t="n">
        <v>16</v>
      </c>
      <c r="W21" s="46" t="n">
        <v>2</v>
      </c>
      <c r="X21" s="46" t="n">
        <v>10</v>
      </c>
      <c r="Y21" s="46" t="n">
        <v>0</v>
      </c>
      <c r="Z21" s="46" t="n">
        <v>0</v>
      </c>
      <c r="AA21" s="46" t="n">
        <v>0</v>
      </c>
      <c r="AB21" s="46">
        <f>V21-X21</f>
        <v/>
      </c>
      <c r="AC21" s="47">
        <f>X21/V21</f>
        <v/>
      </c>
      <c r="AD21" s="47">
        <f>Y21/U21</f>
        <v/>
      </c>
      <c r="AE21" s="47">
        <f>Z21/U21</f>
        <v/>
      </c>
      <c r="AF21" s="47">
        <f>AA21/U21</f>
        <v/>
      </c>
      <c r="AG21" s="47">
        <f>V19/U19</f>
        <v/>
      </c>
    </row>
    <row r="22">
      <c r="S22" s="37" t="inlineStr">
        <is>
          <t>LONB 1/5 - 1/19</t>
        </is>
      </c>
      <c r="T22" s="74" t="n">
        <v>31</v>
      </c>
      <c r="U22" s="46" t="n">
        <v>31</v>
      </c>
      <c r="V22" s="46" t="n">
        <v>24</v>
      </c>
      <c r="W22" s="46" t="n">
        <v>7</v>
      </c>
      <c r="X22" s="46" t="n">
        <v>0</v>
      </c>
      <c r="Y22" s="46" t="n">
        <v>2</v>
      </c>
      <c r="Z22" s="46" t="n">
        <v>0</v>
      </c>
      <c r="AA22" s="46" t="n">
        <v>0</v>
      </c>
      <c r="AB22" s="46">
        <f>V22-X22</f>
        <v/>
      </c>
      <c r="AC22" s="47">
        <f>X22/V22</f>
        <v/>
      </c>
      <c r="AD22" s="47">
        <f>Y22/U22</f>
        <v/>
      </c>
      <c r="AE22" s="47">
        <f>Z22/U22</f>
        <v/>
      </c>
      <c r="AF22" s="47">
        <f>AA22/U22</f>
        <v/>
      </c>
      <c r="AG22" s="47">
        <f>V20/U20</f>
        <v/>
      </c>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S23" s="37" t="inlineStr">
        <is>
          <t>LONB 1/19 - 2/2</t>
        </is>
      </c>
      <c r="T23" s="64" t="n">
        <v>37</v>
      </c>
      <c r="U23" s="46" t="n">
        <v>30</v>
      </c>
      <c r="V23" s="46" t="n">
        <v>23</v>
      </c>
      <c r="W23" s="46" t="n">
        <v>7</v>
      </c>
      <c r="X23" s="46" t="n">
        <v>5</v>
      </c>
      <c r="Y23" s="46" t="n">
        <v>3</v>
      </c>
      <c r="Z23" s="46" t="n">
        <v>4</v>
      </c>
      <c r="AA23" s="46" t="n">
        <v>3</v>
      </c>
      <c r="AB23" s="72">
        <f>V23-X23</f>
        <v/>
      </c>
      <c r="AC23" s="76">
        <f>X23/V23</f>
        <v/>
      </c>
      <c r="AD23" s="76">
        <f>Y23/U23</f>
        <v/>
      </c>
      <c r="AE23" s="76">
        <f>Z23/U23</f>
        <v/>
      </c>
      <c r="AF23" s="76">
        <f>AA23/U23</f>
        <v/>
      </c>
      <c r="AG23" s="76">
        <f>V21/U21</f>
        <v/>
      </c>
      <c r="AJ23" s="2" t="inlineStr">
        <is>
          <t>LONB 5/25 - 6/08</t>
        </is>
      </c>
      <c r="AK23" t="n">
        <v>0.3428571428571429</v>
      </c>
      <c r="AL23" t="n">
        <v>0</v>
      </c>
      <c r="AN23" s="2" t="inlineStr">
        <is>
          <t>LONB 5/25 - 6/08</t>
        </is>
      </c>
      <c r="AO23" t="n">
        <v>0.4666666666666667</v>
      </c>
      <c r="AP23" t="n">
        <v>0.06666666666666667</v>
      </c>
    </row>
    <row r="24">
      <c r="S24" s="37" t="inlineStr">
        <is>
          <t>LONB 2/2 - 2/16</t>
        </is>
      </c>
      <c r="T24" s="64" t="n">
        <v>32</v>
      </c>
      <c r="U24" s="46" t="n">
        <v>32</v>
      </c>
      <c r="V24" s="46" t="n">
        <v>24</v>
      </c>
      <c r="W24" s="46" t="n">
        <v>8</v>
      </c>
      <c r="X24" s="46" t="n">
        <v>4</v>
      </c>
      <c r="Y24" s="46" t="n">
        <v>0</v>
      </c>
      <c r="Z24" s="46" t="n">
        <v>0</v>
      </c>
      <c r="AA24" s="46" t="n">
        <v>0</v>
      </c>
      <c r="AB24" s="72">
        <f>V24-X24</f>
        <v/>
      </c>
      <c r="AC24" s="76">
        <f>X24/V24</f>
        <v/>
      </c>
      <c r="AD24" s="76">
        <f>Y24/U24</f>
        <v/>
      </c>
      <c r="AE24" s="76">
        <f>Z24/U24</f>
        <v/>
      </c>
      <c r="AF24" s="76">
        <f>AA24/U24</f>
        <v/>
      </c>
      <c r="AG24" s="76">
        <f>V22/U22</f>
        <v/>
      </c>
      <c r="AJ24" s="2" t="inlineStr">
        <is>
          <t>LONB 6/08 - 6/22</t>
        </is>
      </c>
      <c r="AK24" t="n">
        <v>0.2962962962962963</v>
      </c>
      <c r="AL24" t="n">
        <v>0.275</v>
      </c>
      <c r="AN24" s="2" t="inlineStr">
        <is>
          <t>LONB 6/08 - 6/22</t>
        </is>
      </c>
      <c r="AO24" t="n">
        <v>0.125</v>
      </c>
      <c r="AP24" t="n">
        <v>0.125</v>
      </c>
    </row>
    <row r="25">
      <c r="S25" s="66" t="inlineStr">
        <is>
          <t>LONB 2/16 - 3/2</t>
        </is>
      </c>
      <c r="T25" s="74" t="n">
        <v>47</v>
      </c>
      <c r="U25" s="72" t="n">
        <v>34</v>
      </c>
      <c r="V25" s="72" t="n">
        <v>19</v>
      </c>
      <c r="W25" s="72" t="n">
        <v>15</v>
      </c>
      <c r="X25" s="72" t="n">
        <v>7</v>
      </c>
      <c r="Y25" s="72" t="n">
        <v>2</v>
      </c>
      <c r="Z25" s="72" t="n">
        <v>10</v>
      </c>
      <c r="AA25" s="72" t="n">
        <v>3</v>
      </c>
      <c r="AB25" s="72">
        <f>V25-X25</f>
        <v/>
      </c>
      <c r="AC25" s="76">
        <f>X25/V25</f>
        <v/>
      </c>
      <c r="AD25" s="76">
        <f>Y25/U25</f>
        <v/>
      </c>
      <c r="AE25" s="76">
        <f>Z25/U25</f>
        <v/>
      </c>
      <c r="AF25" s="76">
        <f>AA25/U25</f>
        <v/>
      </c>
      <c r="AG25" s="76">
        <f>V23/U23</f>
        <v/>
      </c>
      <c r="AJ25" s="2" t="inlineStr">
        <is>
          <t>LONB 6/22 - 7/06</t>
        </is>
      </c>
      <c r="AK25" t="n">
        <v>0.1428571428571428</v>
      </c>
      <c r="AL25" t="n">
        <v>0.282051282051282</v>
      </c>
      <c r="AN25" s="2" t="inlineStr">
        <is>
          <t>LONB 6/22 - 7/06</t>
        </is>
      </c>
      <c r="AO25" t="n">
        <v>0.1025641025641026</v>
      </c>
      <c r="AP25" t="n">
        <v>0.3076923076923077</v>
      </c>
    </row>
    <row r="26">
      <c r="S26" s="37" t="inlineStr">
        <is>
          <t>LONB 3/2 - 3/16</t>
        </is>
      </c>
      <c r="T26" s="64">
        <f>(U26+Z26+AA26)</f>
        <v/>
      </c>
      <c r="U26" s="46" t="n">
        <v>76</v>
      </c>
      <c r="V26" s="46" t="n">
        <v>35</v>
      </c>
      <c r="W26" s="46" t="n">
        <v>11</v>
      </c>
      <c r="X26" s="46" t="n">
        <v>9</v>
      </c>
      <c r="Y26" s="46" t="n">
        <v>0</v>
      </c>
      <c r="Z26" s="46" t="n">
        <v>0</v>
      </c>
      <c r="AA26" s="46" t="n">
        <v>0</v>
      </c>
      <c r="AB26" s="72">
        <f>V26-X26</f>
        <v/>
      </c>
      <c r="AC26" s="76">
        <f>X26/V26</f>
        <v/>
      </c>
      <c r="AD26" s="76">
        <f>Y26/U26</f>
        <v/>
      </c>
      <c r="AE26" s="76">
        <f>Z26/U26</f>
        <v/>
      </c>
      <c r="AF26" s="76">
        <f>AA26/U26</f>
        <v/>
      </c>
      <c r="AG26" s="76">
        <f>V24/U24</f>
        <v/>
      </c>
      <c r="AJ26" s="2" t="inlineStr">
        <is>
          <t>LONB 7/06 - 7/20</t>
        </is>
      </c>
      <c r="AK26" t="n">
        <v>0.4230769230769231</v>
      </c>
      <c r="AL26" t="n">
        <v>0.7777777777777778</v>
      </c>
      <c r="AN26" s="2" t="inlineStr">
        <is>
          <t>LONB 7/06 - 7/20</t>
        </is>
      </c>
      <c r="AO26" t="n">
        <v>0.6111111111111112</v>
      </c>
      <c r="AP26" t="n">
        <v>0.6666666666666666</v>
      </c>
    </row>
    <row r="27">
      <c r="S27" s="37" t="inlineStr">
        <is>
          <t>LONB 3/16- 3/30</t>
        </is>
      </c>
      <c r="T27" s="64">
        <f>(U27+Z27+AA27)</f>
        <v/>
      </c>
      <c r="U27" s="46" t="n">
        <v>53</v>
      </c>
      <c r="V27" s="72" t="n">
        <v>40</v>
      </c>
      <c r="W27" s="72" t="n">
        <v>13</v>
      </c>
      <c r="X27" s="72" t="n">
        <v>4</v>
      </c>
      <c r="Y27" s="72" t="n">
        <v>3</v>
      </c>
      <c r="Z27" s="72" t="n">
        <v>5</v>
      </c>
      <c r="AA27" s="122" t="n">
        <v>0</v>
      </c>
      <c r="AB27" s="46">
        <f>V27-X27</f>
        <v/>
      </c>
      <c r="AC27" s="47">
        <f>X27/V27</f>
        <v/>
      </c>
      <c r="AD27" s="47">
        <f>Y27/U27</f>
        <v/>
      </c>
      <c r="AE27" s="47">
        <f>Z27/U27</f>
        <v/>
      </c>
      <c r="AF27" s="47">
        <f>AA27/U27</f>
        <v/>
      </c>
      <c r="AG27" s="47">
        <f>V25/U25</f>
        <v/>
      </c>
      <c r="AJ27" s="2" t="inlineStr">
        <is>
          <t>LONB 7/20 - 8/03</t>
        </is>
      </c>
      <c r="AK27" t="n">
        <v>0.2105263157894737</v>
      </c>
      <c r="AL27" t="n">
        <v>0.2</v>
      </c>
      <c r="AN27" s="2" t="inlineStr">
        <is>
          <t>LONB 7/20 - 8/03</t>
        </is>
      </c>
      <c r="AO27" t="n">
        <v>0.2444444444444444</v>
      </c>
      <c r="AP27" t="n">
        <v>0.1333333333333333</v>
      </c>
    </row>
    <row r="28">
      <c r="S28" s="37" t="inlineStr">
        <is>
          <t>LONB 3/30- 4/13</t>
        </is>
      </c>
      <c r="T28" s="74" t="n">
        <v>50</v>
      </c>
      <c r="U28" s="70">
        <f>T28-(Z28+AA28)</f>
        <v/>
      </c>
      <c r="V28" s="46" t="n">
        <v>35</v>
      </c>
      <c r="W28" s="46" t="n">
        <v>15</v>
      </c>
      <c r="X28" s="46" t="n">
        <v>4</v>
      </c>
      <c r="Y28" s="46" t="n">
        <v>0</v>
      </c>
      <c r="Z28" s="46" t="n">
        <v>2</v>
      </c>
      <c r="AA28" s="46" t="n">
        <v>9</v>
      </c>
      <c r="AB28" s="71">
        <f>V28-X28</f>
        <v/>
      </c>
      <c r="AC28" s="47">
        <f>X28/V28</f>
        <v/>
      </c>
      <c r="AD28" s="47">
        <f>Y28/U28</f>
        <v/>
      </c>
      <c r="AE28" s="47">
        <f>Z28/U28</f>
        <v/>
      </c>
      <c r="AF28" s="47">
        <f>AA28/U28</f>
        <v/>
      </c>
      <c r="AG28" s="47">
        <f>V26/U26</f>
        <v/>
      </c>
      <c r="AJ28" s="2" t="inlineStr">
        <is>
          <t>LONB 8/03 - 8/17</t>
        </is>
      </c>
      <c r="AK28" t="n">
        <v>0.2173913043478261</v>
      </c>
      <c r="AL28" t="n">
        <v>0.1071428571428571</v>
      </c>
      <c r="AN28" s="2" t="inlineStr">
        <is>
          <t>LONB 8/03 - 8/17</t>
        </is>
      </c>
      <c r="AO28" t="n">
        <v>0.3928571428571428</v>
      </c>
      <c r="AP28" t="n">
        <v>0.5714285714285714</v>
      </c>
    </row>
    <row r="29">
      <c r="S29" s="73" t="inlineStr">
        <is>
          <t>LONB 4/13 - 4/27</t>
        </is>
      </c>
      <c r="T29" s="64" t="n">
        <v>45</v>
      </c>
      <c r="U29" s="110">
        <f>T29-(Z29+AA29)</f>
        <v/>
      </c>
      <c r="V29" s="46" t="n">
        <v>28</v>
      </c>
      <c r="W29" s="46" t="n">
        <v>17</v>
      </c>
      <c r="X29" s="46" t="n">
        <v>7</v>
      </c>
      <c r="Y29" s="46" t="n">
        <v>2</v>
      </c>
      <c r="Z29" s="46" t="n">
        <v>15</v>
      </c>
      <c r="AA29" s="46" t="n">
        <v>7</v>
      </c>
      <c r="AB29" s="71">
        <f>V29-X29</f>
        <v/>
      </c>
      <c r="AC29" s="47">
        <f>X29/V29</f>
        <v/>
      </c>
      <c r="AD29" s="47">
        <f>Y29/U29</f>
        <v/>
      </c>
      <c r="AE29" s="47">
        <f>Z29/U29</f>
        <v/>
      </c>
      <c r="AF29" s="47">
        <f>AA29/U29</f>
        <v/>
      </c>
      <c r="AG29" s="47">
        <f>V27/U27</f>
        <v/>
      </c>
      <c r="AJ29" s="2" t="inlineStr">
        <is>
          <t>LONB 8/017 - 8/31</t>
        </is>
      </c>
      <c r="AK29" t="n">
        <v>0</v>
      </c>
      <c r="AL29" t="n">
        <v>0</v>
      </c>
      <c r="AN29" s="2" t="inlineStr">
        <is>
          <t>LONB 8/017 - 8/31</t>
        </is>
      </c>
      <c r="AO29" t="n">
        <v>0</v>
      </c>
      <c r="AP29" t="n">
        <v>0.08695652173913043</v>
      </c>
    </row>
    <row r="30">
      <c r="S30" s="73" t="inlineStr">
        <is>
          <t>LONB 4/27 - 5/11</t>
        </is>
      </c>
      <c r="T30" s="64" t="n">
        <v>47</v>
      </c>
      <c r="U30" s="110">
        <f>T30-(Z30+AA30)</f>
        <v/>
      </c>
      <c r="V30" s="46" t="n">
        <v>37</v>
      </c>
      <c r="W30" s="46" t="n">
        <v>10</v>
      </c>
      <c r="X30" s="46" t="n">
        <v>10</v>
      </c>
      <c r="Y30" s="46" t="n">
        <v>0</v>
      </c>
      <c r="Z30" s="46" t="n">
        <v>10</v>
      </c>
      <c r="AA30" s="46" t="n">
        <v>3</v>
      </c>
      <c r="AB30" s="71">
        <f>V30-X30</f>
        <v/>
      </c>
      <c r="AC30" s="47">
        <f>X30/V30</f>
        <v/>
      </c>
      <c r="AD30" s="47">
        <f>Y30/U30</f>
        <v/>
      </c>
      <c r="AE30" s="47">
        <f>Z30/U30</f>
        <v/>
      </c>
      <c r="AF30" s="47">
        <f>AA30/U30</f>
        <v/>
      </c>
      <c r="AG30" s="47">
        <f>V28/U28</f>
        <v/>
      </c>
      <c r="AJ30" s="2" t="inlineStr">
        <is>
          <t>Grand Total</t>
        </is>
      </c>
      <c r="AK30" t="n">
        <v>1.633005125224805</v>
      </c>
      <c r="AL30" t="n">
        <v>1.641971916971917</v>
      </c>
      <c r="AN30" s="2" t="inlineStr">
        <is>
          <t>Grand Total</t>
        </is>
      </c>
      <c r="AO30" t="n">
        <v>1.942643467643468</v>
      </c>
      <c r="AP30" t="n">
        <v>1.957744067526676</v>
      </c>
    </row>
    <row r="31">
      <c r="S31" s="73" t="inlineStr">
        <is>
          <t>LONB 5/11 - 5/25</t>
        </is>
      </c>
      <c r="T31" s="74" t="n">
        <v>45</v>
      </c>
      <c r="U31" s="111">
        <f>T31-(Z31+AA31)</f>
        <v/>
      </c>
      <c r="V31" s="72" t="n">
        <v>34</v>
      </c>
      <c r="W31" s="72" t="n">
        <v>11</v>
      </c>
      <c r="X31" s="72" t="n">
        <v>14</v>
      </c>
      <c r="Y31" s="72" t="n">
        <v>2</v>
      </c>
      <c r="Z31" s="72" t="n">
        <v>15</v>
      </c>
      <c r="AA31" s="72" t="n">
        <v>5</v>
      </c>
      <c r="AB31" s="71">
        <f>V31-X31</f>
        <v/>
      </c>
      <c r="AC31" s="47">
        <f>X31/V31</f>
        <v/>
      </c>
      <c r="AD31" s="47">
        <f>Y31/U31</f>
        <v/>
      </c>
      <c r="AE31" s="47">
        <f>Z31/U31</f>
        <v/>
      </c>
      <c r="AF31" s="47">
        <f>AA31/U31</f>
        <v/>
      </c>
      <c r="AG31" s="47">
        <f>V29/U29</f>
        <v/>
      </c>
    </row>
    <row r="32">
      <c r="S32" s="73" t="inlineStr">
        <is>
          <t>LONB 5/25 - 6/08</t>
        </is>
      </c>
      <c r="T32" s="64" t="n">
        <v>46</v>
      </c>
      <c r="U32" s="111">
        <f>T32-(Z32+AA32)</f>
        <v/>
      </c>
      <c r="V32" s="46" t="n">
        <v>35</v>
      </c>
      <c r="W32" s="46" t="n">
        <v>7</v>
      </c>
      <c r="X32" s="46" t="n">
        <v>12</v>
      </c>
      <c r="Y32" s="46" t="n">
        <v>0</v>
      </c>
      <c r="Z32" s="46" t="n">
        <v>14</v>
      </c>
      <c r="AA32" s="46" t="n">
        <v>2</v>
      </c>
      <c r="AB32" s="71">
        <f>V32-X32</f>
        <v/>
      </c>
      <c r="AC32" s="47">
        <f>X32/V32</f>
        <v/>
      </c>
      <c r="AD32" s="47">
        <f>Y32/U32</f>
        <v/>
      </c>
      <c r="AE32" s="47">
        <f>Z32/U32</f>
        <v/>
      </c>
      <c r="AF32" s="47">
        <f>AA32/U32</f>
        <v/>
      </c>
      <c r="AG32" s="47">
        <f>V32/U32</f>
        <v/>
      </c>
      <c r="AJ32" s="14" t="inlineStr">
        <is>
          <t>Sprint</t>
        </is>
      </c>
      <c r="AK32" s="15" t="inlineStr">
        <is>
          <t>V2</t>
        </is>
      </c>
      <c r="AL32" s="16" t="inlineStr">
        <is>
          <t>LT</t>
        </is>
      </c>
      <c r="AN32" s="14" t="inlineStr">
        <is>
          <t>Sprint</t>
        </is>
      </c>
      <c r="AO32" s="15" t="inlineStr">
        <is>
          <t>V2</t>
        </is>
      </c>
      <c r="AP32" s="16" t="inlineStr">
        <is>
          <t>LT</t>
        </is>
      </c>
    </row>
    <row r="33">
      <c r="S33" s="73" t="inlineStr">
        <is>
          <t>LONB 6/08 - 6/22</t>
        </is>
      </c>
      <c r="T33" s="64" t="n">
        <v>50</v>
      </c>
      <c r="U33" s="111">
        <f>T33-(Z33+AA33)</f>
        <v/>
      </c>
      <c r="V33" s="46" t="n">
        <v>27</v>
      </c>
      <c r="W33" s="46" t="n">
        <v>23</v>
      </c>
      <c r="X33" s="46" t="n">
        <v>8</v>
      </c>
      <c r="Y33" s="46" t="n">
        <v>11</v>
      </c>
      <c r="Z33" s="46" t="n">
        <v>5</v>
      </c>
      <c r="AA33" s="46" t="n">
        <v>5</v>
      </c>
      <c r="AB33" s="71">
        <f>V33-X33</f>
        <v/>
      </c>
      <c r="AC33" s="47">
        <f>X33/V33</f>
        <v/>
      </c>
      <c r="AD33" s="47">
        <f>Y33/U33</f>
        <v/>
      </c>
      <c r="AE33" s="47">
        <f>Z33/U33</f>
        <v/>
      </c>
      <c r="AF33" s="47">
        <f>AA33/U33</f>
        <v/>
      </c>
      <c r="AG33" s="47">
        <f>V33/U33</f>
        <v/>
      </c>
      <c r="AJ33" s="17">
        <f>AJ23</f>
        <v/>
      </c>
      <c r="AK33" s="23">
        <f>AK23</f>
        <v/>
      </c>
      <c r="AL33" s="24">
        <f>AL23</f>
        <v/>
      </c>
      <c r="AN33" s="17">
        <f>AN23</f>
        <v/>
      </c>
      <c r="AO33" s="23">
        <f>AO23</f>
        <v/>
      </c>
      <c r="AP33" s="24">
        <f>AP23</f>
        <v/>
      </c>
    </row>
    <row r="34">
      <c r="S34" s="73" t="inlineStr">
        <is>
          <t>LONB 6/22 - 7/06</t>
        </is>
      </c>
      <c r="T34" s="64" t="n">
        <v>55</v>
      </c>
      <c r="U34" s="111">
        <f>T34-(Z34+AA34)</f>
        <v/>
      </c>
      <c r="V34" s="46" t="n">
        <v>21</v>
      </c>
      <c r="W34" s="46" t="n">
        <v>34</v>
      </c>
      <c r="X34" s="46" t="n">
        <v>3</v>
      </c>
      <c r="Y34" s="46" t="n">
        <v>11</v>
      </c>
      <c r="Z34" s="46" t="n">
        <v>4</v>
      </c>
      <c r="AA34" s="46" t="n">
        <v>12</v>
      </c>
      <c r="AB34" s="71">
        <f>V34-X34</f>
        <v/>
      </c>
      <c r="AC34" s="47">
        <f>X34/V34</f>
        <v/>
      </c>
      <c r="AD34" s="47">
        <f>Y34/U34</f>
        <v/>
      </c>
      <c r="AE34" s="47">
        <f>Z34/U34</f>
        <v/>
      </c>
      <c r="AF34" s="47">
        <f>AA34/U34</f>
        <v/>
      </c>
      <c r="AG34" s="47">
        <f>V32/U32</f>
        <v/>
      </c>
      <c r="AJ34" s="17">
        <f>AJ24</f>
        <v/>
      </c>
      <c r="AK34" s="23">
        <f>AK24</f>
        <v/>
      </c>
      <c r="AL34" s="24">
        <f>AL24</f>
        <v/>
      </c>
      <c r="AN34" s="17">
        <f>AN24</f>
        <v/>
      </c>
      <c r="AO34" s="23">
        <f>AO24</f>
        <v/>
      </c>
      <c r="AP34" s="24">
        <f>AP24</f>
        <v/>
      </c>
    </row>
    <row r="35">
      <c r="S35" s="73" t="inlineStr">
        <is>
          <t>LONB 7/06 - 7/20</t>
        </is>
      </c>
      <c r="T35" s="64" t="n">
        <v>32</v>
      </c>
      <c r="U35" s="46" t="n">
        <v>18</v>
      </c>
      <c r="V35" s="46" t="n">
        <v>26</v>
      </c>
      <c r="W35" s="46" t="n">
        <v>25</v>
      </c>
      <c r="X35" s="46" t="n">
        <v>11</v>
      </c>
      <c r="Y35" s="46" t="n">
        <v>14</v>
      </c>
      <c r="Z35" s="46" t="n">
        <v>11</v>
      </c>
      <c r="AA35" s="46" t="n">
        <v>12</v>
      </c>
      <c r="AB35" s="71">
        <f>V35-X35</f>
        <v/>
      </c>
      <c r="AC35" s="47">
        <f>X35/V35</f>
        <v/>
      </c>
      <c r="AD35" s="47">
        <f>Y35/U35</f>
        <v/>
      </c>
      <c r="AE35" s="47">
        <f>Z35/U35</f>
        <v/>
      </c>
      <c r="AF35" s="47">
        <f>AA35/U35</f>
        <v/>
      </c>
      <c r="AG35" s="47">
        <f>V35/U35</f>
        <v/>
      </c>
      <c r="AJ35" s="17">
        <f>AJ25</f>
        <v/>
      </c>
      <c r="AK35" s="23">
        <f>AK25</f>
        <v/>
      </c>
      <c r="AL35" s="24">
        <f>AL25</f>
        <v/>
      </c>
      <c r="AN35" s="17">
        <f>AN25</f>
        <v/>
      </c>
      <c r="AO35" s="23">
        <f>AO25</f>
        <v/>
      </c>
      <c r="AP35" s="24">
        <f>AP25</f>
        <v/>
      </c>
    </row>
    <row r="36">
      <c r="S36" s="80" t="inlineStr">
        <is>
          <t>LONB 7/20 - 8/03</t>
        </is>
      </c>
      <c r="T36" s="74" t="n">
        <v>34</v>
      </c>
      <c r="U36" s="72" t="n">
        <v>45</v>
      </c>
      <c r="V36" s="72" t="n">
        <v>38</v>
      </c>
      <c r="W36" s="72" t="n">
        <v>15</v>
      </c>
      <c r="X36" s="72" t="n">
        <v>8</v>
      </c>
      <c r="Y36" s="72" t="n">
        <v>9</v>
      </c>
      <c r="Z36" s="72" t="n">
        <v>11</v>
      </c>
      <c r="AA36" s="72" t="n">
        <v>6</v>
      </c>
      <c r="AB36" s="71">
        <f>V36-X36</f>
        <v/>
      </c>
      <c r="AC36" s="47">
        <f>X36/V36</f>
        <v/>
      </c>
      <c r="AD36" s="47">
        <f>Y36/U36</f>
        <v/>
      </c>
      <c r="AE36" s="47">
        <f>Z36/U36</f>
        <v/>
      </c>
      <c r="AF36" s="47">
        <f>AA36/U36</f>
        <v/>
      </c>
      <c r="AG36" s="47">
        <f>V36/U36</f>
        <v/>
      </c>
      <c r="AJ36" s="17">
        <f>AJ26</f>
        <v/>
      </c>
      <c r="AK36" s="23">
        <f>AK26</f>
        <v/>
      </c>
      <c r="AL36" s="24">
        <f>AL26</f>
        <v/>
      </c>
      <c r="AN36" s="17">
        <f>AN26</f>
        <v/>
      </c>
      <c r="AO36" s="23">
        <f>AO26</f>
        <v/>
      </c>
      <c r="AP36" s="24">
        <f>AP26</f>
        <v/>
      </c>
    </row>
    <row r="37">
      <c r="S37" s="37" t="inlineStr">
        <is>
          <t>LONB 8/03 - 8/17</t>
        </is>
      </c>
      <c r="T37" s="64" t="n">
        <v>35</v>
      </c>
      <c r="U37" s="46" t="n">
        <v>28</v>
      </c>
      <c r="V37" s="46" t="n">
        <v>23</v>
      </c>
      <c r="W37" s="46" t="n">
        <v>46</v>
      </c>
      <c r="X37" s="46" t="n">
        <v>5</v>
      </c>
      <c r="Y37" s="46" t="n">
        <v>3</v>
      </c>
      <c r="Z37" s="46" t="n">
        <v>11</v>
      </c>
      <c r="AA37" s="46" t="n">
        <v>16</v>
      </c>
      <c r="AB37" s="71">
        <f>V37-X37</f>
        <v/>
      </c>
      <c r="AC37" s="47">
        <f>X37/V37</f>
        <v/>
      </c>
      <c r="AD37" s="47">
        <f>Y37/U37</f>
        <v/>
      </c>
      <c r="AE37" s="47">
        <f>Z37/U37</f>
        <v/>
      </c>
      <c r="AF37" s="47">
        <f>AA37/U37</f>
        <v/>
      </c>
      <c r="AG37" s="47">
        <f>V37/U37</f>
        <v/>
      </c>
      <c r="AJ37" s="17">
        <f>AJ27</f>
        <v/>
      </c>
      <c r="AK37" s="23">
        <f>AK27</f>
        <v/>
      </c>
      <c r="AL37" s="24">
        <f>AL27</f>
        <v/>
      </c>
      <c r="AN37" s="17">
        <f>AN27</f>
        <v/>
      </c>
      <c r="AO37" s="23">
        <f>AO27</f>
        <v/>
      </c>
      <c r="AP37" s="24">
        <f>AP27</f>
        <v/>
      </c>
    </row>
    <row r="38">
      <c r="S38" s="37" t="inlineStr">
        <is>
          <t>LONB 8/017 - 8/31</t>
        </is>
      </c>
      <c r="T38" s="64" t="n">
        <v>40</v>
      </c>
      <c r="U38" s="46" t="n">
        <v>23</v>
      </c>
      <c r="V38" s="46" t="n">
        <v>17</v>
      </c>
      <c r="W38" s="46" t="n">
        <v>14</v>
      </c>
      <c r="X38" s="46" t="n">
        <v>0</v>
      </c>
      <c r="Y38" s="46" t="n">
        <v>0</v>
      </c>
      <c r="Z38" s="46" t="n">
        <v>0</v>
      </c>
      <c r="AA38" s="46" t="n">
        <v>2</v>
      </c>
      <c r="AB38" s="71">
        <f>V38-X38</f>
        <v/>
      </c>
      <c r="AC38" s="47">
        <f>X38/V38</f>
        <v/>
      </c>
      <c r="AD38" s="47">
        <f>Y38/U38</f>
        <v/>
      </c>
      <c r="AE38" s="47">
        <f>Z38/U38</f>
        <v/>
      </c>
      <c r="AF38" s="47">
        <f>AA38/U38</f>
        <v/>
      </c>
      <c r="AG38" s="47">
        <f>V38/U38</f>
        <v/>
      </c>
      <c r="AJ38" s="17">
        <f>AJ28</f>
        <v/>
      </c>
      <c r="AK38" s="23">
        <f>AK28</f>
        <v/>
      </c>
      <c r="AL38" s="24">
        <f>AL28</f>
        <v/>
      </c>
      <c r="AN38" s="17">
        <f>AN28</f>
        <v/>
      </c>
      <c r="AO38" s="23">
        <f>AO28</f>
        <v/>
      </c>
      <c r="AP38" s="24">
        <f>AP28</f>
        <v/>
      </c>
    </row>
    <row r="39" ht="15.75" customHeight="1" thickBot="1">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LONB 5/25 - 6/08</t>
        </is>
      </c>
      <c r="AK43" t="n">
        <v>1.166666666666667</v>
      </c>
    </row>
    <row r="44">
      <c r="AJ44" s="2" t="inlineStr">
        <is>
          <t>LONB 6/08 - 6/22</t>
        </is>
      </c>
      <c r="AK44" t="n">
        <v>0.675</v>
      </c>
    </row>
    <row r="45">
      <c r="AJ45" s="2" t="inlineStr">
        <is>
          <t>LONB 6/22 - 7/06</t>
        </is>
      </c>
      <c r="AK45" t="n">
        <v>1.166666666666667</v>
      </c>
    </row>
    <row r="46">
      <c r="AJ46" s="2" t="inlineStr">
        <is>
          <t>LONB 7/06 - 7/20</t>
        </is>
      </c>
      <c r="AK46" t="n">
        <v>1.444444444444444</v>
      </c>
    </row>
    <row r="47">
      <c r="AJ47" s="2" t="inlineStr">
        <is>
          <t>LONB 7/20 - 8/03</t>
        </is>
      </c>
      <c r="AK47" t="n">
        <v>0.8444444444444444</v>
      </c>
    </row>
    <row r="48">
      <c r="AJ48" s="2" t="inlineStr">
        <is>
          <t>LONB 8/03 - 8/17</t>
        </is>
      </c>
      <c r="AK48" t="n">
        <v>0.8214285714285714</v>
      </c>
    </row>
    <row r="49">
      <c r="AJ49" s="2" t="inlineStr">
        <is>
          <t>LONB 8/017 - 8/31</t>
        </is>
      </c>
      <c r="AK49" t="n">
        <v>0.7391304347826086</v>
      </c>
    </row>
    <row r="50">
      <c r="AJ50" s="2" t="inlineStr">
        <is>
          <t>Grand Total</t>
        </is>
      </c>
      <c r="AK50" t="n">
        <v>6.857781228433402</v>
      </c>
    </row>
    <row r="53">
      <c r="AJ53" s="36" t="inlineStr">
        <is>
          <t>Sprint</t>
        </is>
      </c>
      <c r="AK53" s="36" t="inlineStr">
        <is>
          <t>Sum of Planned Vs Completed Ratio</t>
        </is>
      </c>
    </row>
    <row r="54">
      <c r="AJ54" s="69">
        <f>AJ43</f>
        <v/>
      </c>
      <c r="AK54" s="32">
        <f>AK43</f>
        <v/>
      </c>
    </row>
    <row r="55">
      <c r="AJ55" s="69">
        <f>AJ44</f>
        <v/>
      </c>
      <c r="AK55" s="32">
        <f>AK44</f>
        <v/>
      </c>
    </row>
    <row r="56">
      <c r="AJ56" s="69">
        <f>AJ45</f>
        <v/>
      </c>
      <c r="AK56" s="32">
        <f>AK45</f>
        <v/>
      </c>
    </row>
    <row r="57">
      <c r="AJ57" s="69">
        <f>AJ46</f>
        <v/>
      </c>
      <c r="AK57" s="32">
        <f>AK46</f>
        <v/>
      </c>
    </row>
    <row r="58">
      <c r="AJ58" s="69">
        <f>AJ47</f>
        <v/>
      </c>
      <c r="AK58" s="32">
        <f>AK47</f>
        <v/>
      </c>
    </row>
    <row r="59">
      <c r="AJ59" s="69">
        <f>AJ48</f>
        <v/>
      </c>
      <c r="AK59" s="32">
        <f>AK48</f>
        <v/>
      </c>
    </row>
    <row r="60">
      <c r="AJ60" s="69">
        <f>AJ49</f>
        <v/>
      </c>
      <c r="AK60" s="32">
        <f>AK49</f>
        <v/>
      </c>
    </row>
    <row r="61">
      <c r="AJ61" s="2" t="n"/>
      <c r="AK61" s="23"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P67"/>
  <sheetViews>
    <sheetView zoomScale="55" zoomScaleNormal="55" workbookViewId="0">
      <pane ySplit="1" topLeftCell="A2" activePane="bottomLeft" state="frozen"/>
      <selection pane="bottomLeft" activeCell="I1" sqref="I1"/>
      <selection activeCell="I1" sqref="I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7.42578125" customWidth="1" min="16" max="16"/>
    <col width="10.140625" customWidth="1" min="17" max="34"/>
    <col width="16.28515625" bestFit="1" customWidth="1" min="36" max="36"/>
    <col width="28.5703125" bestFit="1" customWidth="1" min="37" max="37"/>
    <col width="28.140625" bestFit="1" customWidth="1" min="38" max="38"/>
    <col width="16.28515625" bestFit="1" customWidth="1" min="40" max="40"/>
    <col width="30.5703125" bestFit="1" customWidth="1" min="41" max="41"/>
    <col width="30.28515625" bestFit="1" customWidth="1" min="42" max="42"/>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40" t="inlineStr">
        <is>
          <t>Old Dates</t>
        </is>
      </c>
      <c r="Q1" s="19" t="n"/>
      <c r="R1" s="19" t="n"/>
      <c r="S1" s="19" t="n"/>
      <c r="T1" s="19" t="n"/>
      <c r="U1" s="19" t="n"/>
      <c r="V1" s="19" t="n"/>
      <c r="W1" s="19" t="n"/>
      <c r="X1" s="19" t="n"/>
      <c r="Y1" s="19" t="n"/>
      <c r="Z1" s="19" t="n"/>
      <c r="AA1" s="19" t="n"/>
      <c r="AB1" s="19" t="n"/>
      <c r="AC1" s="19" t="n"/>
      <c r="AD1" s="19" t="n"/>
      <c r="AE1" s="19" t="n"/>
      <c r="AF1" s="19" t="n"/>
      <c r="AG1" s="19" t="n"/>
      <c r="AH1" s="19" t="n"/>
      <c r="AJ1" s="4" t="inlineStr">
        <is>
          <t>Row Labels</t>
        </is>
      </c>
      <c r="AK1" t="inlineStr">
        <is>
          <t>Sum of V2</t>
        </is>
      </c>
      <c r="AL1" t="inlineStr">
        <is>
          <t>Sum of LT</t>
        </is>
      </c>
      <c r="AN1" s="4" t="inlineStr">
        <is>
          <t>Row Labels</t>
        </is>
      </c>
      <c r="AO1" t="inlineStr">
        <is>
          <t>Sum of Rework</t>
        </is>
      </c>
      <c r="AP1" t="inlineStr">
        <is>
          <t>Sum of QA Passed</t>
        </is>
      </c>
    </row>
    <row r="2">
      <c r="A2" s="37" t="inlineStr">
        <is>
          <t>LCS: 4/06 - 4/13</t>
        </is>
      </c>
      <c r="B2" s="37">
        <f>(C2+H2+I2)</f>
        <v/>
      </c>
      <c r="C2" s="37" t="n">
        <v>28</v>
      </c>
      <c r="D2" s="37" t="n">
        <v>28</v>
      </c>
      <c r="E2" s="37" t="n">
        <v>0</v>
      </c>
      <c r="F2" s="37" t="n">
        <v>8</v>
      </c>
      <c r="G2" s="37" t="n">
        <v>0</v>
      </c>
      <c r="H2" s="37" t="n">
        <v>0</v>
      </c>
      <c r="I2" s="37" t="n">
        <v>0</v>
      </c>
      <c r="J2" s="37">
        <f>D2-F2</f>
        <v/>
      </c>
      <c r="K2" s="38">
        <f>F2/D2</f>
        <v/>
      </c>
      <c r="L2" s="38" t="n">
        <v>0</v>
      </c>
      <c r="M2" s="38">
        <f>H2/D2</f>
        <v/>
      </c>
      <c r="N2" s="38" t="n">
        <v>0</v>
      </c>
      <c r="O2" s="42" t="n"/>
      <c r="P2" s="20" t="n">
        <v>43927</v>
      </c>
      <c r="Q2" s="21" t="n"/>
      <c r="R2" s="21" t="n"/>
      <c r="S2" s="21" t="n"/>
      <c r="T2" s="21" t="n"/>
      <c r="U2" s="21" t="n"/>
      <c r="V2" s="21" t="n"/>
      <c r="W2" s="21" t="n"/>
      <c r="X2" s="21" t="n"/>
      <c r="Y2" s="21" t="n"/>
      <c r="Z2" s="21" t="n"/>
      <c r="AA2" s="21" t="n"/>
      <c r="AB2" s="21" t="n"/>
      <c r="AC2" s="21" t="n"/>
      <c r="AD2" s="21" t="n"/>
      <c r="AE2" s="21" t="n"/>
      <c r="AF2" s="21" t="n"/>
      <c r="AG2" s="21" t="n"/>
      <c r="AH2" s="21" t="n"/>
      <c r="AJ2" s="2" t="inlineStr">
        <is>
          <t>LCS: 6/29 - 7/06</t>
        </is>
      </c>
      <c r="AK2" t="n">
        <v>3</v>
      </c>
      <c r="AL2" t="n">
        <v>7</v>
      </c>
      <c r="AN2" s="2" t="inlineStr">
        <is>
          <t>LCS: 6/29 - 7/06</t>
        </is>
      </c>
      <c r="AO2" t="n">
        <v>0</v>
      </c>
      <c r="AP2" t="n">
        <v>3</v>
      </c>
    </row>
    <row r="3">
      <c r="A3" s="37" t="inlineStr">
        <is>
          <t>LCS: 4/13 - 4/20</t>
        </is>
      </c>
      <c r="B3" s="37">
        <f>(C3+H3+I3)</f>
        <v/>
      </c>
      <c r="C3" s="37" t="n">
        <v>21</v>
      </c>
      <c r="D3" s="37" t="n">
        <v>18</v>
      </c>
      <c r="E3" s="37" t="n">
        <v>3</v>
      </c>
      <c r="F3" s="37" t="n">
        <v>5</v>
      </c>
      <c r="G3" s="37" t="n">
        <v>0</v>
      </c>
      <c r="H3" s="37" t="n">
        <v>0</v>
      </c>
      <c r="I3" s="37" t="n">
        <v>0</v>
      </c>
      <c r="J3" s="37">
        <f>D3-F3</f>
        <v/>
      </c>
      <c r="K3" s="38">
        <f>F3/D3</f>
        <v/>
      </c>
      <c r="L3" s="38">
        <f>G3/E3</f>
        <v/>
      </c>
      <c r="M3" s="38">
        <f>H3/D3</f>
        <v/>
      </c>
      <c r="N3" s="38">
        <f>I3/E3</f>
        <v/>
      </c>
      <c r="O3" s="42" t="n"/>
      <c r="P3" s="20" t="n">
        <v>43934</v>
      </c>
      <c r="Q3" s="21" t="n"/>
      <c r="R3" s="21" t="n"/>
      <c r="S3" s="21" t="n"/>
      <c r="T3" s="21" t="n"/>
      <c r="U3" s="21" t="n"/>
      <c r="V3" s="21" t="n"/>
      <c r="W3" s="21" t="n"/>
      <c r="X3" s="21" t="n"/>
      <c r="Y3" s="21" t="n"/>
      <c r="Z3" s="21" t="n"/>
      <c r="AA3" s="21" t="n"/>
      <c r="AB3" s="21" t="n"/>
      <c r="AC3" s="21" t="n"/>
      <c r="AD3" s="21" t="n"/>
      <c r="AE3" s="21" t="n"/>
      <c r="AF3" s="21" t="n"/>
      <c r="AG3" s="21" t="n"/>
      <c r="AH3" s="21" t="n"/>
      <c r="AJ3" s="2" t="inlineStr">
        <is>
          <t>LCS: 7/06 - 7/13</t>
        </is>
      </c>
      <c r="AK3" t="n">
        <v>24</v>
      </c>
      <c r="AL3" t="n">
        <v>6</v>
      </c>
      <c r="AN3" s="2" t="inlineStr">
        <is>
          <t>LCS: 7/06 - 7/13</t>
        </is>
      </c>
      <c r="AO3" t="n">
        <v>0</v>
      </c>
      <c r="AP3" t="n">
        <v>24</v>
      </c>
    </row>
    <row r="4">
      <c r="A4" s="37" t="inlineStr">
        <is>
          <t>LCS: 4/20 - 4/27</t>
        </is>
      </c>
      <c r="B4" s="37">
        <f>(C4+H4+I4)</f>
        <v/>
      </c>
      <c r="C4" s="37" t="n">
        <v>35</v>
      </c>
      <c r="D4" s="37" t="n">
        <v>24</v>
      </c>
      <c r="E4" s="37" t="n">
        <v>11</v>
      </c>
      <c r="F4" s="37" t="n">
        <v>3</v>
      </c>
      <c r="G4" s="37" t="n">
        <v>3</v>
      </c>
      <c r="H4" s="37" t="n">
        <v>0</v>
      </c>
      <c r="I4" s="37" t="n">
        <v>0</v>
      </c>
      <c r="J4" s="37">
        <f>D4-F4</f>
        <v/>
      </c>
      <c r="K4" s="38">
        <f>F4/D4</f>
        <v/>
      </c>
      <c r="L4" s="38">
        <f>G4/E4</f>
        <v/>
      </c>
      <c r="M4" s="38">
        <f>H4/D4</f>
        <v/>
      </c>
      <c r="N4" s="38">
        <f>I4/E4</f>
        <v/>
      </c>
      <c r="O4" s="42" t="n"/>
      <c r="P4" s="20" t="n">
        <v>43941</v>
      </c>
      <c r="Q4" s="21" t="n"/>
      <c r="R4" s="21" t="n"/>
      <c r="S4" s="21" t="n"/>
      <c r="T4" s="21" t="n"/>
      <c r="U4" s="21" t="n"/>
      <c r="V4" s="21" t="n"/>
      <c r="W4" s="21" t="n"/>
      <c r="X4" s="21" t="n"/>
      <c r="Y4" s="21" t="n"/>
      <c r="Z4" s="21" t="n"/>
      <c r="AA4" s="21" t="n"/>
      <c r="AB4" s="21" t="n"/>
      <c r="AC4" s="21" t="n"/>
      <c r="AD4" s="21" t="n"/>
      <c r="AE4" s="21" t="n"/>
      <c r="AF4" s="21" t="n"/>
      <c r="AG4" s="21" t="n"/>
      <c r="AH4" s="21" t="n"/>
      <c r="AJ4" s="2" t="inlineStr">
        <is>
          <t>LCS: 7/13 - 7/20</t>
        </is>
      </c>
      <c r="AK4" t="n">
        <v>27</v>
      </c>
      <c r="AL4" t="n">
        <v>3</v>
      </c>
      <c r="AN4" s="2" t="inlineStr">
        <is>
          <t>LCS: 7/13 - 7/20</t>
        </is>
      </c>
      <c r="AO4" t="n">
        <v>0</v>
      </c>
      <c r="AP4" t="n">
        <v>27</v>
      </c>
    </row>
    <row r="5">
      <c r="A5" s="37" t="inlineStr">
        <is>
          <t>LCS: 4/27 - 5/04</t>
        </is>
      </c>
      <c r="B5" s="37">
        <f>(C5+H5+I5)</f>
        <v/>
      </c>
      <c r="C5" s="37" t="n">
        <v>19</v>
      </c>
      <c r="D5" s="37" t="n">
        <v>11</v>
      </c>
      <c r="E5" s="37" t="n">
        <v>8</v>
      </c>
      <c r="F5" s="37" t="n">
        <v>0</v>
      </c>
      <c r="G5" s="37" t="n">
        <v>0</v>
      </c>
      <c r="H5" s="37" t="n">
        <v>0</v>
      </c>
      <c r="I5" s="37" t="n">
        <v>0</v>
      </c>
      <c r="J5" s="37">
        <f>D5-F5</f>
        <v/>
      </c>
      <c r="K5" s="38">
        <f>F5/D5</f>
        <v/>
      </c>
      <c r="L5" s="38">
        <f>G5/E5</f>
        <v/>
      </c>
      <c r="M5" s="38">
        <f>H5/D5</f>
        <v/>
      </c>
      <c r="N5" s="38">
        <f>I5/E5</f>
        <v/>
      </c>
      <c r="O5" s="42" t="n"/>
      <c r="P5" s="20" t="n">
        <v>43948</v>
      </c>
      <c r="Q5" s="21" t="n"/>
      <c r="R5" s="21" t="n"/>
      <c r="S5" s="21" t="n"/>
      <c r="T5" s="21" t="n"/>
      <c r="U5" s="21" t="n"/>
      <c r="V5" s="21" t="n"/>
      <c r="W5" s="21" t="n"/>
      <c r="X5" s="21" t="n"/>
      <c r="Y5" s="21" t="n"/>
      <c r="Z5" s="21" t="n"/>
      <c r="AA5" s="21" t="n"/>
      <c r="AB5" s="21" t="n"/>
      <c r="AC5" s="21" t="n"/>
      <c r="AD5" s="21" t="n"/>
      <c r="AE5" s="21" t="n"/>
      <c r="AF5" s="21" t="n"/>
      <c r="AG5" s="21" t="n"/>
      <c r="AH5" s="21" t="n"/>
      <c r="AJ5" s="2" t="inlineStr">
        <is>
          <t>LCS: 7/20 - 7/27</t>
        </is>
      </c>
      <c r="AK5" t="n">
        <v>24</v>
      </c>
      <c r="AL5" t="n">
        <v>2</v>
      </c>
      <c r="AN5" s="2" t="inlineStr">
        <is>
          <t>LCS: 7/20 - 7/27</t>
        </is>
      </c>
      <c r="AO5" t="n">
        <v>0</v>
      </c>
      <c r="AP5" t="n">
        <v>24</v>
      </c>
    </row>
    <row r="6">
      <c r="A6" s="37" t="inlineStr">
        <is>
          <t>LCS: 5/04 - 5/11</t>
        </is>
      </c>
      <c r="B6" s="37">
        <f>(C6+H6+I6)</f>
        <v/>
      </c>
      <c r="C6" s="37" t="n">
        <v>19</v>
      </c>
      <c r="D6" s="37" t="n">
        <v>9</v>
      </c>
      <c r="E6" s="37" t="n">
        <v>10</v>
      </c>
      <c r="F6" s="37" t="n">
        <v>0</v>
      </c>
      <c r="G6" s="37" t="n">
        <v>13</v>
      </c>
      <c r="H6" s="37" t="n">
        <v>0</v>
      </c>
      <c r="I6" s="37" t="n">
        <v>0</v>
      </c>
      <c r="J6" s="37">
        <f>D6-F6</f>
        <v/>
      </c>
      <c r="K6" s="38">
        <f>F6/D6</f>
        <v/>
      </c>
      <c r="L6" s="38">
        <f>G6/E6</f>
        <v/>
      </c>
      <c r="M6" s="38">
        <f>H6/D6</f>
        <v/>
      </c>
      <c r="N6" s="38">
        <f>I6/E6</f>
        <v/>
      </c>
      <c r="O6" s="42" t="n"/>
      <c r="P6" s="20" t="n">
        <v>43955</v>
      </c>
      <c r="Q6" s="21" t="n"/>
      <c r="R6" s="21" t="n"/>
      <c r="S6" s="21" t="n"/>
      <c r="T6" s="21" t="n"/>
      <c r="U6" s="21" t="n"/>
      <c r="V6" s="21" t="n"/>
      <c r="W6" s="21" t="n"/>
      <c r="X6" s="21" t="n"/>
      <c r="Y6" s="21" t="n"/>
      <c r="Z6" s="21" t="n"/>
      <c r="AA6" s="21" t="n"/>
      <c r="AB6" s="21" t="n"/>
      <c r="AC6" s="21" t="n"/>
      <c r="AD6" s="21" t="n"/>
      <c r="AE6" s="21" t="n"/>
      <c r="AF6" s="21" t="n"/>
      <c r="AG6" s="21" t="n"/>
      <c r="AH6" s="21" t="n"/>
      <c r="AJ6" s="2" t="inlineStr">
        <is>
          <t>LCS: 7/27 - 8/03</t>
        </is>
      </c>
      <c r="AK6" t="n">
        <v>8</v>
      </c>
      <c r="AL6" t="n">
        <v>1</v>
      </c>
      <c r="AN6" s="2" t="inlineStr">
        <is>
          <t>LCS: 7/27 - 8/03</t>
        </is>
      </c>
      <c r="AO6" t="n">
        <v>0</v>
      </c>
      <c r="AP6" t="n">
        <v>8</v>
      </c>
    </row>
    <row r="7">
      <c r="A7" s="37" t="inlineStr">
        <is>
          <t>LCS: 5/11 - 5/18</t>
        </is>
      </c>
      <c r="B7" s="37">
        <f>(C7+H7+I7)</f>
        <v/>
      </c>
      <c r="C7" s="37" t="n">
        <v>25</v>
      </c>
      <c r="D7" s="37" t="n">
        <v>17</v>
      </c>
      <c r="E7" s="37" t="n">
        <v>8</v>
      </c>
      <c r="F7" s="37" t="n">
        <v>3</v>
      </c>
      <c r="G7" s="37" t="n">
        <v>0</v>
      </c>
      <c r="H7" s="37" t="n">
        <v>0</v>
      </c>
      <c r="I7" s="37" t="n">
        <v>0</v>
      </c>
      <c r="J7" s="37">
        <f>D7-F7</f>
        <v/>
      </c>
      <c r="K7" s="38">
        <f>F7/D7</f>
        <v/>
      </c>
      <c r="L7" s="38">
        <f>G7/E7</f>
        <v/>
      </c>
      <c r="M7" s="38">
        <f>H7/D7</f>
        <v/>
      </c>
      <c r="N7" s="38">
        <f>I7/E7</f>
        <v/>
      </c>
      <c r="O7" s="42" t="n"/>
      <c r="P7" s="20" t="n">
        <v>43962</v>
      </c>
      <c r="Q7" s="21" t="n"/>
      <c r="R7" s="21" t="n"/>
      <c r="S7" s="21" t="n"/>
      <c r="T7" s="21" t="n"/>
      <c r="U7" s="21" t="n"/>
      <c r="V7" s="21" t="n"/>
      <c r="W7" s="21" t="n"/>
      <c r="X7" s="21" t="n"/>
      <c r="Y7" s="21" t="n"/>
      <c r="Z7" s="21" t="n"/>
      <c r="AA7" s="21" t="n"/>
      <c r="AB7" s="21" t="n"/>
      <c r="AC7" s="21" t="n"/>
      <c r="AD7" s="21" t="n"/>
      <c r="AE7" s="21" t="n"/>
      <c r="AF7" s="21" t="n"/>
      <c r="AG7" s="21" t="n"/>
      <c r="AH7" s="21" t="n"/>
      <c r="AJ7" s="2" t="inlineStr">
        <is>
          <t>LCS: 8/03 - 8/10</t>
        </is>
      </c>
      <c r="AK7" t="n">
        <v>18</v>
      </c>
      <c r="AL7" t="n">
        <v>2</v>
      </c>
      <c r="AN7" s="2" t="inlineStr">
        <is>
          <t>LCS: 8/03 - 8/10</t>
        </is>
      </c>
      <c r="AO7" t="n">
        <v>0</v>
      </c>
      <c r="AP7" t="n">
        <v>18</v>
      </c>
    </row>
    <row r="8">
      <c r="A8" s="37" t="inlineStr">
        <is>
          <t>LCS: 5/18 - 5/25</t>
        </is>
      </c>
      <c r="B8" s="37">
        <f>(C8+H8+I8)</f>
        <v/>
      </c>
      <c r="C8" s="37" t="n">
        <v>45</v>
      </c>
      <c r="D8" s="37" t="n">
        <v>32</v>
      </c>
      <c r="E8" s="37" t="n">
        <v>13</v>
      </c>
      <c r="F8" s="37" t="n">
        <v>3</v>
      </c>
      <c r="G8" s="37" t="n">
        <v>0</v>
      </c>
      <c r="H8" s="37" t="n">
        <v>0</v>
      </c>
      <c r="I8" s="37" t="n">
        <v>0</v>
      </c>
      <c r="J8" s="37">
        <f>D8-F8</f>
        <v/>
      </c>
      <c r="K8" s="38">
        <f>F8/D8</f>
        <v/>
      </c>
      <c r="L8" s="38">
        <f>G8/E8</f>
        <v/>
      </c>
      <c r="M8" s="38">
        <f>H8/D8</f>
        <v/>
      </c>
      <c r="N8" s="38">
        <f>I8/E8</f>
        <v/>
      </c>
      <c r="O8" s="42" t="n"/>
      <c r="P8" s="20" t="n">
        <v>43969</v>
      </c>
      <c r="Q8" s="21" t="n"/>
      <c r="R8" s="21" t="n"/>
      <c r="S8" s="21" t="n"/>
      <c r="T8" s="21" t="n"/>
      <c r="U8" s="21" t="n"/>
      <c r="V8" s="21" t="n"/>
      <c r="W8" s="21" t="n"/>
      <c r="X8" s="21" t="n"/>
      <c r="Y8" s="21" t="n"/>
      <c r="Z8" s="21" t="n"/>
      <c r="AA8" s="21" t="n"/>
      <c r="AB8" s="21" t="n"/>
      <c r="AC8" s="21" t="n"/>
      <c r="AD8" s="21" t="n"/>
      <c r="AE8" s="21" t="n"/>
      <c r="AF8" s="21" t="n"/>
      <c r="AG8" s="21" t="n"/>
      <c r="AH8" s="21" t="n"/>
      <c r="AJ8" s="2" t="inlineStr">
        <is>
          <t>LCS: 8/10 - 8/17</t>
        </is>
      </c>
      <c r="AK8" t="n">
        <v>24</v>
      </c>
      <c r="AL8" t="n">
        <v>3</v>
      </c>
      <c r="AN8" s="2" t="inlineStr">
        <is>
          <t>LCS: 8/10 - 8/17</t>
        </is>
      </c>
      <c r="AO8" t="n">
        <v>0</v>
      </c>
      <c r="AP8" t="n">
        <v>24</v>
      </c>
    </row>
    <row r="9">
      <c r="A9" s="37" t="inlineStr">
        <is>
          <t>LCS: 5/25 - 6/01</t>
        </is>
      </c>
      <c r="B9" s="37">
        <f>(C9+H9+I9)</f>
        <v/>
      </c>
      <c r="C9" s="37" t="n">
        <v>10</v>
      </c>
      <c r="D9" s="37" t="n">
        <v>10</v>
      </c>
      <c r="E9" s="37" t="n">
        <v>0</v>
      </c>
      <c r="F9" s="37" t="n">
        <v>0</v>
      </c>
      <c r="G9" s="37" t="n">
        <v>3</v>
      </c>
      <c r="H9" s="37" t="n">
        <v>0</v>
      </c>
      <c r="I9" s="37" t="n">
        <v>0</v>
      </c>
      <c r="J9" s="37">
        <f>D9-F9</f>
        <v/>
      </c>
      <c r="K9" s="38">
        <f>F9/D9</f>
        <v/>
      </c>
      <c r="L9" s="38" t="n">
        <v>0</v>
      </c>
      <c r="M9" s="38">
        <f>H9/D9</f>
        <v/>
      </c>
      <c r="N9" s="38" t="n">
        <v>0</v>
      </c>
      <c r="O9" s="42" t="n"/>
      <c r="P9" s="20" t="n">
        <v>43976</v>
      </c>
      <c r="Q9" s="21" t="n"/>
      <c r="R9" s="21" t="n"/>
      <c r="S9" s="21" t="n"/>
      <c r="T9" s="21" t="n"/>
      <c r="U9" s="21" t="n"/>
      <c r="V9" s="21" t="n"/>
      <c r="W9" s="21" t="n"/>
      <c r="X9" s="21" t="n"/>
      <c r="Y9" s="21" t="n"/>
      <c r="Z9" s="21" t="n"/>
      <c r="AA9" s="21" t="n"/>
      <c r="AB9" s="21" t="n"/>
      <c r="AC9" s="21" t="n"/>
      <c r="AD9" s="21" t="n"/>
      <c r="AE9" s="21" t="n"/>
      <c r="AF9" s="21" t="n"/>
      <c r="AG9" s="21" t="n"/>
      <c r="AH9" s="21" t="n"/>
      <c r="AJ9" s="2" t="inlineStr">
        <is>
          <t>LCS: 8/17 - 8/24</t>
        </is>
      </c>
      <c r="AK9" t="n">
        <v>9</v>
      </c>
      <c r="AL9" t="n">
        <v>1</v>
      </c>
      <c r="AN9" s="2" t="inlineStr">
        <is>
          <t>LCS: 8/17 - 8/24</t>
        </is>
      </c>
      <c r="AO9" t="n">
        <v>0</v>
      </c>
      <c r="AP9" t="n">
        <v>9</v>
      </c>
    </row>
    <row r="10">
      <c r="A10" s="37" t="inlineStr">
        <is>
          <t>LCS: 6/01 - 6/08</t>
        </is>
      </c>
      <c r="B10" s="37">
        <f>(C10+H10+I10)</f>
        <v/>
      </c>
      <c r="C10" s="37" t="n">
        <v>28</v>
      </c>
      <c r="D10" s="37" t="n">
        <v>20</v>
      </c>
      <c r="E10" s="37" t="n">
        <v>8</v>
      </c>
      <c r="F10" s="37" t="n">
        <v>0</v>
      </c>
      <c r="G10" s="37" t="n">
        <v>6</v>
      </c>
      <c r="H10" s="37" t="n">
        <v>0</v>
      </c>
      <c r="I10" s="37" t="n">
        <v>0</v>
      </c>
      <c r="J10" s="37">
        <f>D10-F10</f>
        <v/>
      </c>
      <c r="K10" s="38">
        <f>F10/D10</f>
        <v/>
      </c>
      <c r="L10" s="38">
        <f>G10/E10</f>
        <v/>
      </c>
      <c r="M10" s="38">
        <f>H10/D10</f>
        <v/>
      </c>
      <c r="N10" s="38">
        <f>I10/E10</f>
        <v/>
      </c>
      <c r="O10" s="42" t="n"/>
      <c r="P10" s="20" t="n">
        <v>43983</v>
      </c>
      <c r="Q10" s="21" t="n"/>
      <c r="R10" s="21" t="n"/>
      <c r="S10" s="21" t="n"/>
      <c r="T10" s="21" t="n"/>
      <c r="U10" s="21" t="n"/>
      <c r="V10" s="21" t="n"/>
      <c r="W10" s="21" t="n"/>
      <c r="X10" s="21" t="n"/>
      <c r="Y10" s="21" t="n"/>
      <c r="Z10" s="21" t="n"/>
      <c r="AA10" s="21" t="n"/>
      <c r="AB10" s="21" t="n"/>
      <c r="AC10" s="21" t="n"/>
      <c r="AD10" s="21" t="n"/>
      <c r="AE10" s="21" t="n"/>
      <c r="AF10" s="21" t="n"/>
      <c r="AG10" s="21" t="n"/>
      <c r="AH10" s="21" t="n"/>
      <c r="AJ10" s="2" t="inlineStr">
        <is>
          <t>LCS: 8/24 - 8/31</t>
        </is>
      </c>
      <c r="AK10" t="n">
        <v>20</v>
      </c>
      <c r="AL10" t="n">
        <v>0</v>
      </c>
      <c r="AN10" s="2" t="inlineStr">
        <is>
          <t>LCS: 8/24 - 8/31</t>
        </is>
      </c>
      <c r="AO10" t="n">
        <v>3</v>
      </c>
      <c r="AP10" t="n">
        <v>17</v>
      </c>
    </row>
    <row r="11">
      <c r="A11" s="37" t="inlineStr">
        <is>
          <t>LCS: 6/08 - 6/15</t>
        </is>
      </c>
      <c r="B11" s="37">
        <f>(C11+H11+I11)</f>
        <v/>
      </c>
      <c r="C11" s="37" t="n">
        <v>35</v>
      </c>
      <c r="D11" s="37" t="n">
        <v>26</v>
      </c>
      <c r="E11" s="37" t="n">
        <v>9</v>
      </c>
      <c r="F11" s="37" t="n">
        <v>0</v>
      </c>
      <c r="G11" s="37" t="n">
        <v>0</v>
      </c>
      <c r="H11" s="37" t="n">
        <v>0</v>
      </c>
      <c r="I11" s="37" t="n">
        <v>0</v>
      </c>
      <c r="J11" s="37">
        <f>D11-F11</f>
        <v/>
      </c>
      <c r="K11" s="38">
        <f>F11/D11</f>
        <v/>
      </c>
      <c r="L11" s="38">
        <f>G11/E11</f>
        <v/>
      </c>
      <c r="M11" s="38">
        <f>H11/D11</f>
        <v/>
      </c>
      <c r="N11" s="38">
        <f>I11/E11</f>
        <v/>
      </c>
      <c r="O11" s="42" t="n"/>
      <c r="P11" s="20" t="n">
        <v>43990</v>
      </c>
      <c r="Q11" s="21" t="n"/>
      <c r="R11" s="21" t="n"/>
      <c r="S11" s="21" t="n"/>
      <c r="T11" s="21" t="n"/>
      <c r="U11" s="21" t="n"/>
      <c r="V11" s="21" t="n"/>
      <c r="W11" s="21" t="n"/>
      <c r="X11" s="21" t="n"/>
      <c r="Y11" s="21" t="n"/>
      <c r="Z11" s="21" t="n"/>
      <c r="AA11" s="21" t="n"/>
      <c r="AB11" s="21" t="n"/>
      <c r="AC11" s="21" t="n"/>
      <c r="AD11" s="21" t="n"/>
      <c r="AE11" s="21" t="n"/>
      <c r="AF11" s="21" t="n"/>
      <c r="AG11" s="21" t="n"/>
      <c r="AH11" s="21" t="n"/>
      <c r="AJ11" s="2" t="inlineStr">
        <is>
          <t>LCS: 9/07 - 9/14</t>
        </is>
      </c>
      <c r="AK11" t="n">
        <v>21</v>
      </c>
      <c r="AL11" t="n">
        <v>1</v>
      </c>
      <c r="AN11" s="2" t="inlineStr">
        <is>
          <t>LCS: 9/07 - 9/14</t>
        </is>
      </c>
      <c r="AO11" t="n">
        <v>2</v>
      </c>
      <c r="AP11" t="n">
        <v>19</v>
      </c>
    </row>
    <row r="12">
      <c r="A12" s="37" t="inlineStr">
        <is>
          <t>LCS: 6/15 - 6/22</t>
        </is>
      </c>
      <c r="B12" s="37">
        <f>(C12+H12+I12)</f>
        <v/>
      </c>
      <c r="C12" s="37" t="n">
        <v>12</v>
      </c>
      <c r="D12" s="37" t="n">
        <v>6</v>
      </c>
      <c r="E12" s="37" t="n">
        <v>6</v>
      </c>
      <c r="F12" s="37" t="n">
        <v>3</v>
      </c>
      <c r="G12" s="37" t="n">
        <v>0</v>
      </c>
      <c r="H12" s="37" t="n">
        <v>0</v>
      </c>
      <c r="I12" s="37" t="n">
        <v>0</v>
      </c>
      <c r="J12" s="37">
        <f>D12-F12</f>
        <v/>
      </c>
      <c r="K12" s="38">
        <f>F12/D12</f>
        <v/>
      </c>
      <c r="L12" s="38">
        <f>G12/E12</f>
        <v/>
      </c>
      <c r="M12" s="38">
        <f>H12/D12</f>
        <v/>
      </c>
      <c r="N12" s="38">
        <f>I12/E12</f>
        <v/>
      </c>
      <c r="O12" s="42" t="n"/>
      <c r="P12" s="20" t="n">
        <v>43997</v>
      </c>
      <c r="Q12" s="21" t="n"/>
      <c r="R12" s="21" t="n"/>
      <c r="S12" s="21" t="n"/>
      <c r="T12" s="21" t="n"/>
      <c r="U12" s="21" t="n"/>
      <c r="V12" s="21" t="n"/>
      <c r="W12" s="21" t="n"/>
      <c r="X12" s="21" t="n"/>
      <c r="Y12" s="21" t="n"/>
      <c r="Z12" s="21" t="n"/>
      <c r="AA12" s="21" t="n"/>
      <c r="AB12" s="21" t="n"/>
      <c r="AC12" s="21" t="n"/>
      <c r="AD12" s="21" t="n"/>
      <c r="AE12" s="21" t="n"/>
      <c r="AF12" s="21" t="n"/>
      <c r="AG12" s="21" t="n"/>
      <c r="AH12" s="21" t="n"/>
      <c r="AJ12" s="2" t="inlineStr">
        <is>
          <t>LCS: 9/14 - 9/21</t>
        </is>
      </c>
      <c r="AK12" t="n">
        <v>16</v>
      </c>
      <c r="AL12" t="n">
        <v>3</v>
      </c>
      <c r="AN12" s="2" t="inlineStr">
        <is>
          <t>LCS: 9/14 - 9/21</t>
        </is>
      </c>
      <c r="AO12" t="n">
        <v>2</v>
      </c>
      <c r="AP12" t="n">
        <v>14</v>
      </c>
    </row>
    <row r="13">
      <c r="A13" s="37" t="inlineStr">
        <is>
          <t>LCS: 6/22 - 6/29</t>
        </is>
      </c>
      <c r="B13" s="37">
        <f>(C13+H13+I13)</f>
        <v/>
      </c>
      <c r="C13" s="37" t="n">
        <v>18</v>
      </c>
      <c r="D13" s="37" t="n">
        <v>18</v>
      </c>
      <c r="E13" s="37" t="n">
        <v>0</v>
      </c>
      <c r="F13" s="37" t="n">
        <v>0</v>
      </c>
      <c r="G13" s="37" t="n">
        <v>2</v>
      </c>
      <c r="H13" s="37" t="n">
        <v>0</v>
      </c>
      <c r="I13" s="37" t="n">
        <v>0</v>
      </c>
      <c r="J13" s="37">
        <f>D13-F13</f>
        <v/>
      </c>
      <c r="K13" s="38">
        <f>F13/D13</f>
        <v/>
      </c>
      <c r="L13" s="38" t="n">
        <v>0</v>
      </c>
      <c r="M13" s="38">
        <f>H13/D13</f>
        <v/>
      </c>
      <c r="N13" s="38" t="n">
        <v>0</v>
      </c>
      <c r="O13" s="42" t="n"/>
      <c r="P13" s="20" t="n">
        <v>44004</v>
      </c>
      <c r="Q13" s="21" t="n"/>
      <c r="R13" s="21" t="n"/>
      <c r="S13" s="21" t="n"/>
      <c r="T13" s="21" t="n"/>
      <c r="U13" s="21" t="n"/>
      <c r="V13" s="21" t="n"/>
      <c r="W13" s="21" t="n"/>
      <c r="X13" s="21" t="n"/>
      <c r="Y13" s="21" t="n"/>
      <c r="Z13" s="21" t="n"/>
      <c r="AA13" s="21" t="n"/>
      <c r="AB13" s="21" t="n"/>
      <c r="AC13" s="21" t="n"/>
      <c r="AD13" s="21" t="n"/>
      <c r="AE13" s="21" t="n"/>
      <c r="AF13" s="21" t="n"/>
      <c r="AG13" s="21" t="n"/>
      <c r="AH13" s="21" t="n"/>
      <c r="AJ13" s="2" t="inlineStr">
        <is>
          <t>LCS: 9/21 - 9/28</t>
        </is>
      </c>
      <c r="AK13" t="n">
        <v>17</v>
      </c>
      <c r="AL13" t="n">
        <v>0</v>
      </c>
      <c r="AN13" s="2" t="inlineStr">
        <is>
          <t>LCS: 9/21 - 9/28</t>
        </is>
      </c>
      <c r="AO13" t="n">
        <v>4</v>
      </c>
      <c r="AP13" t="n">
        <v>13</v>
      </c>
    </row>
    <row r="14">
      <c r="A14" s="37" t="inlineStr">
        <is>
          <t>LCS: 6/29 - 7/06</t>
        </is>
      </c>
      <c r="B14" s="37">
        <f>(C14+H14+I14)</f>
        <v/>
      </c>
      <c r="C14" s="37" t="n">
        <v>10</v>
      </c>
      <c r="D14" s="37" t="n">
        <v>3</v>
      </c>
      <c r="E14" s="37" t="n">
        <v>7</v>
      </c>
      <c r="F14" s="37" t="n">
        <v>0</v>
      </c>
      <c r="G14" s="37" t="n">
        <v>2</v>
      </c>
      <c r="H14" s="37" t="n">
        <v>0</v>
      </c>
      <c r="I14" s="37" t="n">
        <v>0</v>
      </c>
      <c r="J14" s="37">
        <f>D14-F14</f>
        <v/>
      </c>
      <c r="K14" s="38">
        <f>F14/D14</f>
        <v/>
      </c>
      <c r="L14" s="38">
        <f>G14/E14</f>
        <v/>
      </c>
      <c r="M14" s="38">
        <f>H14/D14</f>
        <v/>
      </c>
      <c r="N14" s="38">
        <f>I14/E14</f>
        <v/>
      </c>
      <c r="O14" s="42" t="n"/>
      <c r="P14" s="60" t="n">
        <v>44011</v>
      </c>
      <c r="Q14" s="22" t="n"/>
      <c r="R14" s="22" t="n"/>
      <c r="S14" s="22" t="n"/>
      <c r="T14" s="22" t="n"/>
      <c r="U14" s="22" t="n"/>
      <c r="V14" s="22" t="n"/>
      <c r="W14" s="22" t="n"/>
      <c r="X14" s="22" t="n"/>
      <c r="Y14" s="22" t="n"/>
      <c r="Z14" s="22" t="n"/>
      <c r="AA14" s="22" t="n"/>
      <c r="AB14" s="22" t="n"/>
      <c r="AC14" s="22" t="n"/>
      <c r="AD14" s="22" t="n"/>
      <c r="AE14" s="22" t="n"/>
      <c r="AF14" s="22" t="n"/>
      <c r="AG14" s="22" t="n"/>
      <c r="AH14" s="22" t="n"/>
      <c r="AJ14" s="2" t="inlineStr">
        <is>
          <t>LCS: 9/28 - 10/05</t>
        </is>
      </c>
      <c r="AK14" t="n">
        <v>15</v>
      </c>
      <c r="AL14" t="n">
        <v>5</v>
      </c>
      <c r="AN14" s="2" t="inlineStr">
        <is>
          <t>LCS: 9/28 - 10/05</t>
        </is>
      </c>
      <c r="AO14" t="n">
        <v>0</v>
      </c>
      <c r="AP14" t="n">
        <v>15</v>
      </c>
    </row>
    <row r="15">
      <c r="A15" s="37" t="inlineStr">
        <is>
          <t>LCS: 7/06 - 7/13</t>
        </is>
      </c>
      <c r="B15" s="37">
        <f>(C15+H15+I15)</f>
        <v/>
      </c>
      <c r="C15" s="37" t="n">
        <v>30</v>
      </c>
      <c r="D15" s="37" t="n">
        <v>24</v>
      </c>
      <c r="E15" s="37" t="n">
        <v>6</v>
      </c>
      <c r="F15" s="37" t="n">
        <v>0</v>
      </c>
      <c r="G15" s="37" t="n">
        <v>0</v>
      </c>
      <c r="H15" s="37" t="n">
        <v>0</v>
      </c>
      <c r="I15" s="37" t="n">
        <v>0</v>
      </c>
      <c r="J15" s="37">
        <f>D15-F15</f>
        <v/>
      </c>
      <c r="K15" s="38">
        <f>F15/D15</f>
        <v/>
      </c>
      <c r="L15" s="38">
        <f>G15/E15</f>
        <v/>
      </c>
      <c r="M15" s="38">
        <f>H15/D15</f>
        <v/>
      </c>
      <c r="N15" s="38">
        <f>I15/E15</f>
        <v/>
      </c>
      <c r="O15" s="42" t="n"/>
      <c r="P15" s="60" t="n">
        <v>44018</v>
      </c>
      <c r="Q15" s="22" t="n"/>
      <c r="R15" s="22" t="n"/>
      <c r="S15" s="22" t="n"/>
      <c r="T15" s="22" t="n"/>
      <c r="U15" s="22" t="n"/>
      <c r="V15" s="22" t="n"/>
      <c r="W15" s="22" t="n"/>
      <c r="X15" s="22" t="n"/>
      <c r="Y15" s="22" t="n"/>
      <c r="Z15" s="22" t="n"/>
      <c r="AA15" s="22" t="n"/>
      <c r="AB15" s="22" t="n"/>
      <c r="AC15" s="22" t="n"/>
      <c r="AD15" s="22" t="n"/>
      <c r="AE15" s="22" t="n"/>
      <c r="AF15" s="22" t="n"/>
      <c r="AG15" s="22" t="n"/>
      <c r="AH15" s="22" t="n"/>
      <c r="AJ15" s="2" t="inlineStr">
        <is>
          <t>LCS: 8/31 - 9/07</t>
        </is>
      </c>
      <c r="AK15" t="n">
        <v>13</v>
      </c>
      <c r="AL15" t="n">
        <v>7</v>
      </c>
      <c r="AN15" s="2" t="inlineStr">
        <is>
          <t>LCS: 8/31 - 9/07</t>
        </is>
      </c>
      <c r="AO15" t="n">
        <v>3</v>
      </c>
      <c r="AP15" t="n">
        <v>10</v>
      </c>
    </row>
    <row r="16">
      <c r="A16" s="37" t="inlineStr">
        <is>
          <t>LCS: 7/13 - 7/20</t>
        </is>
      </c>
      <c r="B16" s="37">
        <f>(C16+H16+I16)</f>
        <v/>
      </c>
      <c r="C16" s="37" t="n">
        <v>30</v>
      </c>
      <c r="D16" s="37" t="n">
        <v>27</v>
      </c>
      <c r="E16" s="37" t="n">
        <v>3</v>
      </c>
      <c r="F16" s="37" t="n">
        <v>0</v>
      </c>
      <c r="G16" s="37" t="n">
        <v>2</v>
      </c>
      <c r="H16" s="37" t="n">
        <v>0</v>
      </c>
      <c r="I16" s="37" t="n">
        <v>0</v>
      </c>
      <c r="J16" s="37">
        <f>D16-F16</f>
        <v/>
      </c>
      <c r="K16" s="38">
        <f>F16/D16</f>
        <v/>
      </c>
      <c r="L16" s="38">
        <f>G16/E16</f>
        <v/>
      </c>
      <c r="M16" s="38">
        <f>H16/D16</f>
        <v/>
      </c>
      <c r="N16" s="38">
        <f>I16/E16</f>
        <v/>
      </c>
      <c r="O16" s="42" t="n"/>
      <c r="P16" s="60" t="n">
        <v>44025</v>
      </c>
      <c r="Q16" s="22" t="n"/>
      <c r="R16" s="22" t="n"/>
      <c r="S16" s="22" t="n"/>
      <c r="T16" s="22" t="n"/>
      <c r="U16" s="22" t="n"/>
      <c r="V16" s="22" t="n"/>
      <c r="W16" s="22" t="n"/>
      <c r="X16" s="22" t="n"/>
      <c r="Y16" s="22" t="n"/>
      <c r="Z16" s="22" t="n"/>
      <c r="AA16" s="22" t="n"/>
      <c r="AB16" s="22" t="n"/>
      <c r="AC16" s="22" t="n"/>
      <c r="AD16" s="22" t="n"/>
      <c r="AE16" s="22" t="n"/>
      <c r="AF16" s="22" t="n"/>
      <c r="AG16" s="22" t="n"/>
      <c r="AH16" s="22" t="n"/>
      <c r="AJ16" s="2" t="inlineStr">
        <is>
          <t>Grand Total</t>
        </is>
      </c>
      <c r="AK16" t="n">
        <v>239</v>
      </c>
      <c r="AL16" t="n">
        <v>41</v>
      </c>
      <c r="AN16" s="2" t="inlineStr">
        <is>
          <t>Grand Total</t>
        </is>
      </c>
      <c r="AO16" t="n">
        <v>14</v>
      </c>
      <c r="AP16" t="n">
        <v>225</v>
      </c>
    </row>
    <row r="17">
      <c r="A17" s="37" t="inlineStr">
        <is>
          <t>LCS: 7/20 - 7/27</t>
        </is>
      </c>
      <c r="B17" s="37">
        <f>(C17+H17+I17)</f>
        <v/>
      </c>
      <c r="C17" s="37" t="n">
        <v>26</v>
      </c>
      <c r="D17" s="37" t="n">
        <v>24</v>
      </c>
      <c r="E17" s="37" t="n">
        <v>2</v>
      </c>
      <c r="F17" s="37" t="n">
        <v>0</v>
      </c>
      <c r="G17" s="37" t="n">
        <v>0</v>
      </c>
      <c r="H17" s="37" t="n">
        <v>0</v>
      </c>
      <c r="I17" s="37" t="n">
        <v>0</v>
      </c>
      <c r="J17" s="37">
        <f>D17-F17</f>
        <v/>
      </c>
      <c r="K17" s="38">
        <f>F17/D17</f>
        <v/>
      </c>
      <c r="L17" s="38">
        <f>G17/E17</f>
        <v/>
      </c>
      <c r="M17" s="38">
        <f>H17/D17</f>
        <v/>
      </c>
      <c r="N17" s="38">
        <f>I17/E17</f>
        <v/>
      </c>
      <c r="O17" s="42" t="n"/>
      <c r="P17" s="60" t="n">
        <v>44032</v>
      </c>
      <c r="Q17" s="22" t="n"/>
      <c r="R17" s="22" t="n"/>
      <c r="S17" s="22" t="n"/>
      <c r="T17" s="22" t="n"/>
      <c r="U17" s="22" t="n"/>
      <c r="V17" s="22" t="n"/>
      <c r="W17" s="22" t="n"/>
      <c r="X17" s="22" t="n"/>
      <c r="Y17" s="22" t="n"/>
      <c r="Z17" s="22" t="n"/>
      <c r="AA17" s="22" t="n"/>
      <c r="AB17" s="22" t="n"/>
      <c r="AC17" s="22" t="n"/>
      <c r="AD17" s="22" t="n"/>
      <c r="AE17" s="22" t="n"/>
      <c r="AF17" s="22" t="n"/>
      <c r="AG17" s="22" t="n"/>
      <c r="AH17" s="22" t="n"/>
    </row>
    <row r="18" ht="15.75" customHeight="1" thickBot="1">
      <c r="A18" s="37" t="inlineStr">
        <is>
          <t>LCS: 7/27 - 8/03</t>
        </is>
      </c>
      <c r="B18" s="37">
        <f>(C18+H18+I18)</f>
        <v/>
      </c>
      <c r="C18" s="37" t="n">
        <v>9</v>
      </c>
      <c r="D18" s="37" t="n">
        <v>8</v>
      </c>
      <c r="E18" s="37" t="n">
        <v>1</v>
      </c>
      <c r="F18" s="37" t="n">
        <v>0</v>
      </c>
      <c r="G18" s="37" t="n">
        <v>2</v>
      </c>
      <c r="H18" s="37" t="n">
        <v>0</v>
      </c>
      <c r="I18" s="37" t="n">
        <v>0</v>
      </c>
      <c r="J18" s="37">
        <f>D18-F18</f>
        <v/>
      </c>
      <c r="K18" s="38">
        <f>F18/D18</f>
        <v/>
      </c>
      <c r="L18" s="38">
        <f>G18/E18</f>
        <v/>
      </c>
      <c r="M18" s="38">
        <f>H18/D18</f>
        <v/>
      </c>
      <c r="N18" s="38">
        <f>I18/E18</f>
        <v/>
      </c>
      <c r="O18" s="42" t="n"/>
      <c r="P18" s="60" t="n">
        <v>44039</v>
      </c>
      <c r="Q18" s="22" t="n"/>
      <c r="R18" s="22" t="n"/>
      <c r="S18" s="22" t="n"/>
      <c r="T18" s="22" t="n"/>
      <c r="U18" s="22" t="n"/>
      <c r="V18" s="22" t="n"/>
      <c r="W18" s="22" t="n"/>
      <c r="X18" s="22" t="n"/>
      <c r="Y18" s="22" t="n"/>
      <c r="Z18" s="22" t="n"/>
      <c r="AA18" s="22" t="n"/>
      <c r="AB18" s="22" t="n"/>
      <c r="AC18" s="22" t="n"/>
      <c r="AD18" s="22" t="n"/>
      <c r="AE18" s="22" t="n"/>
      <c r="AF18" s="22" t="n"/>
      <c r="AG18" s="22" t="n"/>
      <c r="AH18" s="22" t="n"/>
    </row>
    <row r="19" ht="15.75" customHeight="1" thickBot="1">
      <c r="A19" s="37" t="inlineStr">
        <is>
          <t>LCS: 8/03 - 8/10</t>
        </is>
      </c>
      <c r="B19" s="37">
        <f>(C19+H19+I19)</f>
        <v/>
      </c>
      <c r="C19" s="37" t="n">
        <v>20</v>
      </c>
      <c r="D19" s="37" t="n">
        <v>18</v>
      </c>
      <c r="E19" s="37" t="n">
        <v>2</v>
      </c>
      <c r="F19" s="37" t="n">
        <v>0</v>
      </c>
      <c r="G19" s="37" t="n">
        <v>1</v>
      </c>
      <c r="H19" s="37" t="n">
        <v>0</v>
      </c>
      <c r="I19" s="37" t="n">
        <v>0</v>
      </c>
      <c r="J19" s="37">
        <f>D19-F19</f>
        <v/>
      </c>
      <c r="K19" s="38">
        <f>F19/D19</f>
        <v/>
      </c>
      <c r="L19" s="38">
        <f>G19/E19</f>
        <v/>
      </c>
      <c r="M19" s="38">
        <f>H19/D19</f>
        <v/>
      </c>
      <c r="N19" s="38">
        <f>I19/E19</f>
        <v/>
      </c>
      <c r="O19" s="42" t="n"/>
      <c r="P19" s="60" t="n">
        <v>44046</v>
      </c>
      <c r="Q19" s="22" t="n"/>
      <c r="R19" s="22" t="n"/>
      <c r="S19" s="22" t="n"/>
      <c r="T19" s="22" t="n"/>
      <c r="U19" s="22" t="n"/>
      <c r="V19" s="22" t="n"/>
      <c r="W19" s="22" t="n"/>
      <c r="X19" s="22" t="n"/>
      <c r="Y19" s="22" t="n"/>
      <c r="Z19" s="22" t="n"/>
      <c r="AA19" s="22" t="n"/>
      <c r="AB19" s="22" t="n"/>
      <c r="AC19" s="22" t="n"/>
      <c r="AD19" s="22" t="n"/>
      <c r="AE19" s="22" t="n"/>
      <c r="AF19" s="22" t="n"/>
      <c r="AG19" s="22" t="n"/>
      <c r="AH19" s="22" t="n"/>
      <c r="AJ19" s="14" t="inlineStr">
        <is>
          <t>Kanban Week</t>
        </is>
      </c>
      <c r="AK19" s="15" t="inlineStr">
        <is>
          <t>V2</t>
        </is>
      </c>
      <c r="AL19" s="16" t="inlineStr">
        <is>
          <t>LT</t>
        </is>
      </c>
      <c r="AN19" s="5" t="inlineStr">
        <is>
          <t>QA Passed</t>
        </is>
      </c>
      <c r="AO19" s="6">
        <f>AP16</f>
        <v/>
      </c>
    </row>
    <row r="20" ht="15.75" customHeight="1" thickBot="1">
      <c r="A20" s="37" t="inlineStr">
        <is>
          <t>LCS: 8/10 - 8/17</t>
        </is>
      </c>
      <c r="B20" s="37">
        <f>(C20+H20+I20)</f>
        <v/>
      </c>
      <c r="C20" s="37" t="n">
        <v>27</v>
      </c>
      <c r="D20" s="37" t="n">
        <v>24</v>
      </c>
      <c r="E20" s="37" t="n">
        <v>3</v>
      </c>
      <c r="F20" s="37" t="n">
        <v>0</v>
      </c>
      <c r="G20" s="37" t="n">
        <v>0</v>
      </c>
      <c r="H20" s="37" t="n">
        <v>0</v>
      </c>
      <c r="I20" s="37" t="n">
        <v>0</v>
      </c>
      <c r="J20" s="37">
        <f>D20-F20</f>
        <v/>
      </c>
      <c r="K20" s="38">
        <f>F20/D20</f>
        <v/>
      </c>
      <c r="L20" s="38">
        <f>G20/E20</f>
        <v/>
      </c>
      <c r="M20" s="38">
        <f>H20/D20</f>
        <v/>
      </c>
      <c r="N20" s="38">
        <f>I20/E20</f>
        <v/>
      </c>
      <c r="O20" s="42" t="n"/>
      <c r="P20" s="60" t="n">
        <v>44053</v>
      </c>
      <c r="Q20" s="22" t="n"/>
      <c r="R20" s="22" t="n"/>
      <c r="S20" s="22" t="n"/>
      <c r="T20" s="22" t="n"/>
      <c r="U20" s="22" t="n"/>
      <c r="V20" s="22" t="n"/>
      <c r="W20" s="22" t="n"/>
      <c r="X20" s="22" t="n"/>
      <c r="Y20" s="22" t="n"/>
      <c r="Z20" s="22" t="n"/>
      <c r="AA20" s="22" t="n"/>
      <c r="AB20" s="22" t="n"/>
      <c r="AC20" s="22" t="n"/>
      <c r="AD20" s="22" t="n"/>
      <c r="AE20" s="22" t="n"/>
      <c r="AF20" s="22" t="n"/>
      <c r="AG20" s="22" t="n"/>
      <c r="AH20" s="22" t="n"/>
      <c r="AJ20" s="14">
        <f>AJ2</f>
        <v/>
      </c>
      <c r="AK20" s="15">
        <f>AK2</f>
        <v/>
      </c>
      <c r="AL20" s="16">
        <f>AL2</f>
        <v/>
      </c>
      <c r="AN20" s="5" t="inlineStr">
        <is>
          <t>Rework</t>
        </is>
      </c>
      <c r="AO20" s="6">
        <f>AO16</f>
        <v/>
      </c>
    </row>
    <row r="21" ht="15.75" customHeight="1" thickBot="1">
      <c r="A21" s="37" t="inlineStr">
        <is>
          <t>LCS: 8/17 - 8/24</t>
        </is>
      </c>
      <c r="B21" s="37">
        <f>(C21+H21+I21)</f>
        <v/>
      </c>
      <c r="C21" s="37" t="n">
        <v>10</v>
      </c>
      <c r="D21" s="37" t="n">
        <v>9</v>
      </c>
      <c r="E21" s="37" t="n">
        <v>1</v>
      </c>
      <c r="F21" s="37" t="n">
        <v>0</v>
      </c>
      <c r="G21" s="37" t="n">
        <v>0</v>
      </c>
      <c r="H21" s="37" t="n">
        <v>0</v>
      </c>
      <c r="I21" s="37" t="n">
        <v>0</v>
      </c>
      <c r="J21" s="37">
        <f>D21-F21</f>
        <v/>
      </c>
      <c r="K21" s="38">
        <f>F21/D21</f>
        <v/>
      </c>
      <c r="L21" s="38">
        <f>G21/E21</f>
        <v/>
      </c>
      <c r="M21" s="38">
        <f>H21/D21</f>
        <v/>
      </c>
      <c r="N21" s="38">
        <f>I21/E21</f>
        <v/>
      </c>
      <c r="O21" s="42" t="n"/>
      <c r="P21" s="60" t="n">
        <v>44060</v>
      </c>
      <c r="Q21" s="22" t="n"/>
      <c r="R21" s="22" t="n"/>
      <c r="S21" s="22" t="n"/>
      <c r="T21" s="22" t="n"/>
      <c r="U21" s="22" t="n"/>
      <c r="V21" s="22" t="n"/>
      <c r="W21" s="22" t="n"/>
      <c r="X21" s="22" t="n"/>
      <c r="Y21" s="22" t="n"/>
      <c r="Z21" s="22" t="n"/>
      <c r="AA21" s="22" t="n"/>
      <c r="AB21" s="22" t="n"/>
      <c r="AC21" s="22" t="n"/>
      <c r="AD21" s="22" t="n"/>
      <c r="AE21" s="22" t="n"/>
      <c r="AF21" s="22" t="n"/>
      <c r="AG21" s="22" t="n"/>
      <c r="AH21" s="22" t="n"/>
      <c r="AJ21" s="14">
        <f>AJ3</f>
        <v/>
      </c>
      <c r="AK21" s="15">
        <f>AK3</f>
        <v/>
      </c>
      <c r="AL21" s="16">
        <f>AL3</f>
        <v/>
      </c>
      <c r="AN21" s="5" t="n"/>
      <c r="AO21" s="6" t="n"/>
    </row>
    <row r="22" ht="15.75" customHeight="1" thickBot="1">
      <c r="A22" s="37" t="inlineStr">
        <is>
          <t>LCS: 8/24 - 8/31</t>
        </is>
      </c>
      <c r="B22" s="37">
        <f>(C22+H22+I22)</f>
        <v/>
      </c>
      <c r="C22" s="37" t="n">
        <v>20</v>
      </c>
      <c r="D22" s="37" t="n">
        <v>20</v>
      </c>
      <c r="E22" s="37" t="n">
        <v>0</v>
      </c>
      <c r="F22" s="37" t="n">
        <v>3</v>
      </c>
      <c r="G22" s="37" t="n">
        <v>3</v>
      </c>
      <c r="H22" s="37" t="n">
        <v>0</v>
      </c>
      <c r="I22" s="37" t="n">
        <v>0</v>
      </c>
      <c r="J22" s="37">
        <f>D22-F22</f>
        <v/>
      </c>
      <c r="K22" s="38">
        <f>F22/D22</f>
        <v/>
      </c>
      <c r="L22" s="38" t="n">
        <v>0</v>
      </c>
      <c r="M22" s="38">
        <f>H22/D22</f>
        <v/>
      </c>
      <c r="N22" s="38" t="n">
        <v>0</v>
      </c>
      <c r="O22" s="42" t="n"/>
      <c r="P22" s="60" t="n">
        <v>44067</v>
      </c>
      <c r="Q22" s="22" t="n"/>
      <c r="R22" s="22" t="n"/>
      <c r="S22" s="22" t="n"/>
      <c r="T22" s="22" t="n"/>
      <c r="U22" s="22" t="n"/>
      <c r="V22" s="22" t="n"/>
      <c r="W22" s="22" t="n"/>
      <c r="X22" s="22" t="n"/>
      <c r="Y22" s="22" t="n"/>
      <c r="Z22" s="22" t="n"/>
      <c r="AA22" s="22" t="n"/>
      <c r="AB22" s="22" t="n"/>
      <c r="AC22" s="22" t="n"/>
      <c r="AD22" s="22" t="n"/>
      <c r="AE22" s="22" t="n"/>
      <c r="AF22" s="22" t="n"/>
      <c r="AG22" s="22" t="n"/>
      <c r="AH22" s="22" t="n"/>
      <c r="AJ22" s="14">
        <f>AJ4</f>
        <v/>
      </c>
      <c r="AK22" s="15">
        <f>AK4</f>
        <v/>
      </c>
      <c r="AL22" s="16">
        <f>AL4</f>
        <v/>
      </c>
      <c r="AN22" s="5" t="n"/>
      <c r="AO22" s="6" t="n"/>
    </row>
    <row r="23" ht="15.75" customHeight="1" thickBot="1">
      <c r="A23" s="37" t="inlineStr">
        <is>
          <t>LCS: 8/31 - 9/07</t>
        </is>
      </c>
      <c r="B23" s="37">
        <f>(C23+H23+I23)</f>
        <v/>
      </c>
      <c r="C23" s="37" t="n">
        <v>20</v>
      </c>
      <c r="D23" s="37" t="n">
        <v>13</v>
      </c>
      <c r="E23" s="37" t="n">
        <v>7</v>
      </c>
      <c r="F23" s="37" t="n">
        <v>3</v>
      </c>
      <c r="G23" s="37" t="n">
        <v>3</v>
      </c>
      <c r="H23" s="37" t="n">
        <v>0</v>
      </c>
      <c r="I23" s="37" t="n">
        <v>0</v>
      </c>
      <c r="J23" s="37">
        <f>D23-F23</f>
        <v/>
      </c>
      <c r="K23" s="38">
        <f>F23/D23</f>
        <v/>
      </c>
      <c r="L23" s="38">
        <f>G23/E23</f>
        <v/>
      </c>
      <c r="M23" s="38">
        <f>H23/D23</f>
        <v/>
      </c>
      <c r="N23" s="38">
        <f>I23/E23</f>
        <v/>
      </c>
      <c r="O23" s="42" t="n"/>
      <c r="P23" s="60" t="n">
        <v>44074</v>
      </c>
      <c r="Q23" s="22" t="n"/>
      <c r="R23" s="22" t="n"/>
      <c r="S23" s="22" t="n"/>
      <c r="T23" s="22" t="n"/>
      <c r="U23" s="22" t="n"/>
      <c r="V23" s="22" t="n"/>
      <c r="W23" s="22" t="n"/>
      <c r="X23" s="22" t="n"/>
      <c r="Y23" s="22" t="n"/>
      <c r="Z23" s="22" t="n"/>
      <c r="AA23" s="22" t="n"/>
      <c r="AB23" s="22" t="n"/>
      <c r="AC23" s="22" t="n"/>
      <c r="AD23" s="22" t="n"/>
      <c r="AE23" s="22" t="n"/>
      <c r="AF23" s="22" t="n"/>
      <c r="AG23" s="22" t="n"/>
      <c r="AH23" s="22" t="n"/>
      <c r="AJ23" s="14">
        <f>AJ5</f>
        <v/>
      </c>
      <c r="AK23" s="15">
        <f>AK5</f>
        <v/>
      </c>
      <c r="AL23" s="16">
        <f>AL5</f>
        <v/>
      </c>
      <c r="AN23" s="5" t="n"/>
      <c r="AO23" s="6" t="n"/>
    </row>
    <row r="24" ht="15.75" customHeight="1" thickBot="1">
      <c r="A24" s="37" t="inlineStr">
        <is>
          <t>LCS: 9/07 - 9/14</t>
        </is>
      </c>
      <c r="B24" s="37">
        <f>(C24+H24+I24)</f>
        <v/>
      </c>
      <c r="C24" s="37" t="n">
        <v>22</v>
      </c>
      <c r="D24" s="37" t="n">
        <v>21</v>
      </c>
      <c r="E24" s="37" t="n">
        <v>1</v>
      </c>
      <c r="F24" s="37" t="n">
        <v>2</v>
      </c>
      <c r="G24" s="37" t="n">
        <v>2</v>
      </c>
      <c r="H24" s="37" t="n">
        <v>0</v>
      </c>
      <c r="I24" s="37" t="n">
        <v>0</v>
      </c>
      <c r="J24" s="37">
        <f>D24-F24</f>
        <v/>
      </c>
      <c r="K24" s="38">
        <f>F24/D24</f>
        <v/>
      </c>
      <c r="L24" s="38">
        <f>G24/E24</f>
        <v/>
      </c>
      <c r="M24" s="38">
        <f>H24/D24</f>
        <v/>
      </c>
      <c r="N24" s="38">
        <f>I24/E24</f>
        <v/>
      </c>
      <c r="O24" s="42" t="n"/>
      <c r="P24" s="60" t="n">
        <v>44081</v>
      </c>
      <c r="Q24" s="22" t="n"/>
      <c r="R24" s="22" t="n"/>
      <c r="S24" s="22" t="n"/>
      <c r="T24" s="22" t="n"/>
      <c r="U24" s="22" t="n"/>
      <c r="V24" s="22" t="n"/>
      <c r="W24" s="22" t="n"/>
      <c r="X24" s="22" t="n"/>
      <c r="Y24" s="22" t="n"/>
      <c r="Z24" s="22" t="n"/>
      <c r="AA24" s="22" t="n"/>
      <c r="AB24" s="22" t="n"/>
      <c r="AC24" s="22" t="n"/>
      <c r="AD24" s="22" t="n"/>
      <c r="AE24" s="22" t="n"/>
      <c r="AF24" s="22" t="n"/>
      <c r="AG24" s="22" t="n"/>
      <c r="AH24" s="22" t="n"/>
      <c r="AJ24" s="14">
        <f>AJ6</f>
        <v/>
      </c>
      <c r="AK24" s="15">
        <f>AK6</f>
        <v/>
      </c>
      <c r="AL24" s="16">
        <f>AL6</f>
        <v/>
      </c>
      <c r="AN24" s="5" t="n"/>
      <c r="AO24" s="6" t="n"/>
    </row>
    <row r="25" ht="15.75" customHeight="1" thickBot="1">
      <c r="A25" s="37" t="inlineStr">
        <is>
          <t>LCS: 9/14 - 9/21</t>
        </is>
      </c>
      <c r="B25" s="37">
        <f>(C25+H25+I25)</f>
        <v/>
      </c>
      <c r="C25" s="37" t="n">
        <v>19</v>
      </c>
      <c r="D25" s="37" t="n">
        <v>16</v>
      </c>
      <c r="E25" s="37" t="n">
        <v>3</v>
      </c>
      <c r="F25" s="37" t="n">
        <v>2</v>
      </c>
      <c r="G25" s="37" t="n">
        <v>2</v>
      </c>
      <c r="H25" s="37" t="n">
        <v>0</v>
      </c>
      <c r="I25" s="37" t="n">
        <v>0</v>
      </c>
      <c r="J25" s="37">
        <f>D25-F25</f>
        <v/>
      </c>
      <c r="K25" s="38">
        <f>F25/D25</f>
        <v/>
      </c>
      <c r="L25" s="38">
        <f>G25/E25</f>
        <v/>
      </c>
      <c r="M25" s="38">
        <f>H25/D25</f>
        <v/>
      </c>
      <c r="N25" s="38">
        <f>I25/E25</f>
        <v/>
      </c>
      <c r="O25" s="42" t="n"/>
      <c r="P25" s="60" t="n">
        <v>44088</v>
      </c>
      <c r="Q25" s="22" t="n"/>
      <c r="R25" s="22" t="n"/>
      <c r="S25" s="22" t="n"/>
      <c r="T25" s="22" t="n"/>
      <c r="U25" s="22" t="n"/>
      <c r="V25" s="22" t="n"/>
      <c r="W25" s="22" t="n"/>
      <c r="X25" s="22" t="n"/>
      <c r="Y25" s="22" t="n"/>
      <c r="Z25" s="22" t="n"/>
      <c r="AA25" s="22" t="n"/>
      <c r="AB25" s="22" t="n"/>
      <c r="AC25" s="22" t="n"/>
      <c r="AD25" s="22" t="n"/>
      <c r="AE25" s="22" t="n"/>
      <c r="AF25" s="22" t="n"/>
      <c r="AG25" s="22" t="n"/>
      <c r="AH25" s="22" t="n"/>
      <c r="AJ25" s="14">
        <f>AJ7</f>
        <v/>
      </c>
      <c r="AK25" s="15">
        <f>AK7</f>
        <v/>
      </c>
      <c r="AL25" s="16">
        <f>AL7</f>
        <v/>
      </c>
      <c r="AN25" s="5" t="n"/>
      <c r="AO25" s="6" t="n"/>
    </row>
    <row r="26" ht="15.75" customHeight="1" thickBot="1">
      <c r="A26" s="37" t="inlineStr">
        <is>
          <t>LCS: 9/21 - 9/28</t>
        </is>
      </c>
      <c r="B26" s="37">
        <f>(C26+H26+I26)</f>
        <v/>
      </c>
      <c r="C26" s="37" t="n">
        <v>17</v>
      </c>
      <c r="D26" s="37" t="n">
        <v>17</v>
      </c>
      <c r="E26" s="37" t="n">
        <v>0</v>
      </c>
      <c r="F26" s="37" t="n">
        <v>4</v>
      </c>
      <c r="G26" s="37" t="n">
        <v>0</v>
      </c>
      <c r="H26" s="37" t="n">
        <v>0</v>
      </c>
      <c r="I26" s="37" t="n">
        <v>0</v>
      </c>
      <c r="J26" s="37">
        <f>D26-F26</f>
        <v/>
      </c>
      <c r="K26" s="38">
        <f>F26/D26</f>
        <v/>
      </c>
      <c r="L26" s="38" t="n">
        <v>0</v>
      </c>
      <c r="M26" s="38">
        <f>H26/D26</f>
        <v/>
      </c>
      <c r="N26" s="38" t="n">
        <v>0</v>
      </c>
      <c r="O26" s="42" t="n"/>
      <c r="P26" s="60" t="n">
        <v>44095</v>
      </c>
      <c r="Q26" s="22" t="n"/>
      <c r="R26" s="22" t="n"/>
      <c r="S26" s="22" t="n"/>
      <c r="T26" s="22" t="n"/>
      <c r="U26" s="22" t="n"/>
      <c r="V26" s="22" t="n"/>
      <c r="W26" s="22" t="n"/>
      <c r="X26" s="22" t="n"/>
      <c r="Y26" s="22" t="n"/>
      <c r="Z26" s="22" t="n"/>
      <c r="AA26" s="22" t="n"/>
      <c r="AB26" s="22" t="n"/>
      <c r="AC26" s="22" t="n"/>
      <c r="AD26" s="22" t="n"/>
      <c r="AE26" s="22" t="n"/>
      <c r="AF26" s="22" t="n"/>
      <c r="AG26" s="22" t="n"/>
      <c r="AH26" s="22" t="n"/>
      <c r="AJ26" s="14">
        <f>AJ8</f>
        <v/>
      </c>
      <c r="AK26" s="15">
        <f>AK8</f>
        <v/>
      </c>
      <c r="AL26" s="16">
        <f>AL8</f>
        <v/>
      </c>
      <c r="AN26" s="5" t="n"/>
      <c r="AO26" s="6" t="n"/>
    </row>
    <row r="27" ht="15.75" customHeight="1" thickBot="1">
      <c r="A27" s="37" t="inlineStr">
        <is>
          <t>LCS: 9/28 - 10/05</t>
        </is>
      </c>
      <c r="B27" s="37">
        <f>(C27+H27+I27)</f>
        <v/>
      </c>
      <c r="C27" s="37" t="n">
        <v>20</v>
      </c>
      <c r="D27" s="37" t="n">
        <v>15</v>
      </c>
      <c r="E27" s="37" t="n">
        <v>5</v>
      </c>
      <c r="F27" s="37" t="n">
        <v>0</v>
      </c>
      <c r="G27" s="37" t="n">
        <v>0</v>
      </c>
      <c r="H27" s="37" t="n">
        <v>0</v>
      </c>
      <c r="I27" s="37" t="n">
        <v>0</v>
      </c>
      <c r="J27" s="37">
        <f>D27-F27</f>
        <v/>
      </c>
      <c r="K27" s="38">
        <f>F27/D27</f>
        <v/>
      </c>
      <c r="L27" s="38">
        <f>G27/E27</f>
        <v/>
      </c>
      <c r="M27" s="38">
        <f>H27/D27</f>
        <v/>
      </c>
      <c r="N27" s="38">
        <f>I27/E27</f>
        <v/>
      </c>
      <c r="O27" s="42" t="n"/>
      <c r="P27" s="60" t="n">
        <v>44102</v>
      </c>
      <c r="Q27" s="22" t="n"/>
      <c r="R27" s="22" t="n"/>
      <c r="S27" s="22" t="n"/>
      <c r="T27" s="22" t="n"/>
      <c r="U27" s="22" t="n"/>
      <c r="V27" s="22" t="n"/>
      <c r="W27" s="22" t="n"/>
      <c r="X27" s="22" t="n"/>
      <c r="Y27" s="22" t="n"/>
      <c r="Z27" s="22" t="n"/>
      <c r="AA27" s="22" t="n"/>
      <c r="AB27" s="22" t="n"/>
      <c r="AC27" s="22" t="n"/>
      <c r="AD27" s="22" t="n"/>
      <c r="AE27" s="22" t="n"/>
      <c r="AF27" s="22" t="n"/>
      <c r="AG27" s="22" t="n"/>
      <c r="AH27" s="22" t="n"/>
      <c r="AJ27" s="14">
        <f>AJ9</f>
        <v/>
      </c>
      <c r="AK27" s="15">
        <f>AK9</f>
        <v/>
      </c>
      <c r="AL27" s="16">
        <f>AL9</f>
        <v/>
      </c>
      <c r="AN27" s="5" t="n"/>
      <c r="AO27" s="6" t="n"/>
    </row>
    <row r="28" ht="15.75" customHeight="1" thickBot="1">
      <c r="A28" s="37" t="n"/>
      <c r="B28" s="37" t="n"/>
      <c r="C28" s="37" t="n"/>
      <c r="D28" s="37" t="n"/>
      <c r="E28" s="37" t="n"/>
      <c r="F28" s="37" t="n"/>
      <c r="G28" s="37" t="n"/>
      <c r="H28" s="37" t="n"/>
      <c r="I28" s="37" t="n"/>
      <c r="J28" s="37" t="n"/>
      <c r="K28" s="37" t="n"/>
      <c r="L28" s="37" t="n"/>
      <c r="M28" s="37" t="n"/>
      <c r="N28" s="37" t="n"/>
      <c r="O28" s="42" t="n"/>
      <c r="P28" s="42" t="n"/>
      <c r="T28" s="22" t="n"/>
      <c r="U28" s="22" t="n"/>
      <c r="V28" s="22" t="n"/>
      <c r="W28" s="22" t="n"/>
      <c r="X28" s="22" t="n"/>
      <c r="Y28" s="22" t="n"/>
      <c r="Z28" s="22" t="n"/>
      <c r="AA28" s="22" t="n"/>
      <c r="AB28" s="22" t="n"/>
      <c r="AC28" s="22" t="n"/>
      <c r="AD28" s="22" t="n"/>
      <c r="AE28" s="22" t="n"/>
      <c r="AF28" s="22" t="n"/>
      <c r="AG28" s="22" t="n"/>
      <c r="AH28" s="22" t="n"/>
      <c r="AJ28" s="14">
        <f>AJ10</f>
        <v/>
      </c>
      <c r="AK28" s="15">
        <f>AK10</f>
        <v/>
      </c>
      <c r="AL28" s="16">
        <f>AL10</f>
        <v/>
      </c>
      <c r="AN28" s="5" t="n"/>
      <c r="AO28" s="6" t="n"/>
    </row>
    <row r="29">
      <c r="A29" s="37" t="n"/>
      <c r="B29" s="37" t="n"/>
      <c r="C29" s="37" t="n"/>
      <c r="D29" s="37" t="n"/>
      <c r="E29" s="37" t="n"/>
      <c r="F29" s="37" t="n"/>
      <c r="G29" s="37" t="n"/>
      <c r="H29" s="37" t="n"/>
      <c r="I29" s="37" t="n"/>
      <c r="J29" s="37" t="n"/>
      <c r="K29" s="37" t="n"/>
      <c r="L29" s="37" t="n"/>
      <c r="M29" s="37" t="n"/>
      <c r="N29" s="37" t="n"/>
      <c r="O29" s="42" t="n"/>
      <c r="P29" s="42" t="n"/>
      <c r="AJ29" s="9">
        <f>AJ11</f>
        <v/>
      </c>
      <c r="AK29">
        <f>AK11</f>
        <v/>
      </c>
      <c r="AL29" s="10">
        <f>AL11</f>
        <v/>
      </c>
    </row>
    <row r="30">
      <c r="A30" s="37" t="n"/>
      <c r="B30" s="37" t="n"/>
      <c r="C30" s="37" t="n"/>
      <c r="D30" s="37" t="n"/>
      <c r="E30" s="37" t="n"/>
      <c r="F30" s="37" t="n"/>
      <c r="G30" s="37" t="n"/>
      <c r="H30" s="37" t="n"/>
      <c r="I30" s="37" t="n"/>
      <c r="J30" s="37" t="n"/>
      <c r="K30" s="37" t="n"/>
      <c r="L30" s="37" t="n"/>
      <c r="M30" s="37" t="n"/>
      <c r="N30" s="37" t="n"/>
      <c r="O30" s="42" t="n"/>
      <c r="P30" s="42" t="n"/>
      <c r="AJ30" s="9">
        <f>AJ12</f>
        <v/>
      </c>
      <c r="AK30">
        <f>AK12</f>
        <v/>
      </c>
      <c r="AL30" s="10">
        <f>AL12</f>
        <v/>
      </c>
    </row>
    <row r="31">
      <c r="A31" s="37" t="n"/>
      <c r="B31" s="37" t="n"/>
      <c r="C31" s="37" t="n"/>
      <c r="D31" s="37" t="n"/>
      <c r="E31" s="37" t="n"/>
      <c r="F31" s="37" t="n"/>
      <c r="G31" s="37" t="n"/>
      <c r="H31" s="37" t="n"/>
      <c r="I31" s="37" t="n"/>
      <c r="J31" s="37" t="n"/>
      <c r="K31" s="37" t="n"/>
      <c r="L31" s="37" t="n"/>
      <c r="M31" s="37" t="n"/>
      <c r="N31" s="37" t="n"/>
      <c r="O31" s="42" t="n"/>
      <c r="P31" s="42" t="n"/>
      <c r="AJ31" s="9">
        <f>AJ13</f>
        <v/>
      </c>
      <c r="AK31">
        <f>AK13</f>
        <v/>
      </c>
      <c r="AL31" s="10">
        <f>AL13</f>
        <v/>
      </c>
    </row>
    <row r="32">
      <c r="A32" s="37" t="n"/>
      <c r="B32" s="37" t="n"/>
      <c r="C32" s="37" t="n"/>
      <c r="D32" s="37" t="n"/>
      <c r="E32" s="37" t="n"/>
      <c r="F32" s="37" t="n"/>
      <c r="G32" s="37" t="n"/>
      <c r="H32" s="37" t="n"/>
      <c r="I32" s="37" t="n"/>
      <c r="J32" s="37" t="n"/>
      <c r="K32" s="37" t="n"/>
      <c r="L32" s="37" t="n"/>
      <c r="M32" s="37" t="n"/>
      <c r="N32" s="37" t="n"/>
      <c r="O32" s="42" t="n"/>
      <c r="P32" s="42" t="n"/>
      <c r="AJ32" s="9">
        <f>AJ14</f>
        <v/>
      </c>
      <c r="AK32">
        <f>AK14</f>
        <v/>
      </c>
      <c r="AL32" s="10">
        <f>AL14</f>
        <v/>
      </c>
    </row>
    <row r="33" ht="15.75" customHeight="1" thickBot="1">
      <c r="A33" s="37" t="n"/>
      <c r="B33" s="37" t="n"/>
      <c r="C33" s="37" t="n"/>
      <c r="D33" s="37" t="n"/>
      <c r="E33" s="37" t="n"/>
      <c r="F33" s="37" t="n"/>
      <c r="G33" s="37" t="n"/>
      <c r="H33" s="37" t="n"/>
      <c r="I33" s="37" t="n"/>
      <c r="J33" s="37" t="n"/>
      <c r="K33" s="37" t="n"/>
      <c r="L33" s="37" t="n"/>
      <c r="M33" s="37" t="n"/>
      <c r="N33" s="37" t="n"/>
      <c r="O33" s="42" t="n"/>
      <c r="P33" s="42" t="n"/>
      <c r="AJ33" s="11">
        <f>AJ15</f>
        <v/>
      </c>
      <c r="AK33" s="12">
        <f>AK15</f>
        <v/>
      </c>
      <c r="AL33" s="13">
        <f>AL15</f>
        <v/>
      </c>
    </row>
    <row r="34">
      <c r="A34" s="37" t="n"/>
      <c r="B34" s="37" t="n"/>
      <c r="C34" s="37" t="n"/>
      <c r="D34" s="37" t="n"/>
      <c r="E34" s="37" t="n"/>
      <c r="F34" s="37" t="n"/>
      <c r="G34" s="37" t="n"/>
      <c r="H34" s="37" t="n"/>
      <c r="I34" s="37" t="n"/>
      <c r="J34" s="37" t="n"/>
      <c r="K34" s="37" t="n"/>
      <c r="L34" s="37" t="n"/>
      <c r="M34" s="37" t="n"/>
      <c r="N34" s="37" t="n"/>
      <c r="O34" s="42" t="n"/>
      <c r="P34" s="42" t="n"/>
    </row>
    <row r="35">
      <c r="A35" s="37" t="n"/>
      <c r="B35" s="37" t="n"/>
      <c r="C35" s="37" t="n"/>
      <c r="D35" s="37" t="n"/>
      <c r="E35" s="37" t="n"/>
      <c r="F35" s="37" t="n"/>
      <c r="G35" s="37" t="n"/>
      <c r="H35" s="37" t="n"/>
      <c r="I35" s="37" t="n"/>
      <c r="J35" s="37" t="n"/>
      <c r="K35" s="37" t="n"/>
      <c r="L35" s="37" t="n"/>
      <c r="M35" s="37" t="n"/>
      <c r="N35" s="37" t="n"/>
      <c r="O35" s="42" t="n"/>
      <c r="P35" s="42" t="n"/>
    </row>
    <row r="36">
      <c r="A36" s="37" t="n"/>
      <c r="B36" s="37" t="n"/>
      <c r="C36" s="37" t="n"/>
      <c r="D36" s="37" t="n"/>
      <c r="E36" s="37" t="n"/>
      <c r="F36" s="37" t="n"/>
      <c r="G36" s="37" t="n"/>
      <c r="H36" s="37" t="n"/>
      <c r="I36" s="37" t="n"/>
      <c r="J36" s="37" t="n"/>
      <c r="K36" s="37" t="n"/>
      <c r="L36" s="37" t="n"/>
      <c r="M36" s="37" t="n"/>
      <c r="N36" s="37" t="n"/>
      <c r="O36" s="42" t="n"/>
      <c r="P36" s="42" t="n"/>
      <c r="AJ36" s="4" t="inlineStr">
        <is>
          <t>Row Labels</t>
        </is>
      </c>
      <c r="AK36" t="inlineStr">
        <is>
          <t>Sum of V2 Reopen Percentage</t>
        </is>
      </c>
      <c r="AL36" t="inlineStr">
        <is>
          <t>Sum of LT Reopen Percentage</t>
        </is>
      </c>
      <c r="AN36" s="4" t="inlineStr">
        <is>
          <t>Row Labels</t>
        </is>
      </c>
      <c r="AO36" t="inlineStr">
        <is>
          <t>Sum of V2 Carryover Percentage</t>
        </is>
      </c>
      <c r="AP36" t="inlineStr">
        <is>
          <t>Sum of LT Carryover Percentage</t>
        </is>
      </c>
    </row>
    <row r="37">
      <c r="A37" s="37" t="n"/>
      <c r="B37" s="37" t="n"/>
      <c r="C37" s="37" t="n"/>
      <c r="D37" s="37" t="n"/>
      <c r="E37" s="37" t="n"/>
      <c r="F37" s="37" t="n"/>
      <c r="G37" s="37" t="n"/>
      <c r="H37" s="37" t="n"/>
      <c r="I37" s="37" t="n"/>
      <c r="J37" s="37" t="n"/>
      <c r="K37" s="37" t="n"/>
      <c r="L37" s="37" t="n"/>
      <c r="M37" s="37" t="n"/>
      <c r="N37" s="37" t="n"/>
      <c r="O37" s="42" t="n"/>
      <c r="P37" s="42" t="n"/>
      <c r="AJ37" s="2" t="inlineStr">
        <is>
          <t>LCS: 6/29 - 7/06</t>
        </is>
      </c>
      <c r="AK37" t="n">
        <v>0</v>
      </c>
      <c r="AL37" t="n">
        <v>0.2857142857142857</v>
      </c>
      <c r="AN37" s="2" t="inlineStr">
        <is>
          <t>LCS: 6/29 - 7/06</t>
        </is>
      </c>
      <c r="AO37" t="n">
        <v>0</v>
      </c>
      <c r="AP37" t="n">
        <v>0</v>
      </c>
    </row>
    <row r="38">
      <c r="A38" s="37" t="n"/>
      <c r="B38" s="37" t="n"/>
      <c r="C38" s="37" t="n"/>
      <c r="D38" s="37" t="n"/>
      <c r="E38" s="37" t="n"/>
      <c r="F38" s="37" t="n"/>
      <c r="G38" s="37" t="n"/>
      <c r="H38" s="37" t="n"/>
      <c r="I38" s="37" t="n"/>
      <c r="J38" s="37" t="n"/>
      <c r="K38" s="37" t="n"/>
      <c r="L38" s="37" t="n"/>
      <c r="M38" s="37" t="n"/>
      <c r="N38" s="37" t="n"/>
      <c r="O38" s="42" t="n"/>
      <c r="P38" s="42" t="n"/>
      <c r="AJ38" s="2" t="inlineStr">
        <is>
          <t>LCS: 7/06 - 7/13</t>
        </is>
      </c>
      <c r="AK38" t="n">
        <v>0</v>
      </c>
      <c r="AL38" t="n">
        <v>0</v>
      </c>
      <c r="AN38" s="2" t="inlineStr">
        <is>
          <t>LCS: 7/06 - 7/13</t>
        </is>
      </c>
      <c r="AO38" t="n">
        <v>0</v>
      </c>
      <c r="AP38" t="n">
        <v>0</v>
      </c>
    </row>
    <row r="39">
      <c r="A39" s="37" t="n"/>
      <c r="B39" s="37" t="n"/>
      <c r="C39" s="37" t="n"/>
      <c r="D39" s="37" t="n"/>
      <c r="E39" s="37" t="n"/>
      <c r="F39" s="37" t="n"/>
      <c r="G39" s="37" t="n"/>
      <c r="H39" s="37" t="n"/>
      <c r="I39" s="37" t="n"/>
      <c r="J39" s="37" t="n"/>
      <c r="K39" s="37" t="n"/>
      <c r="L39" s="37" t="n"/>
      <c r="M39" s="37" t="n"/>
      <c r="N39" s="37" t="n"/>
      <c r="O39" s="42" t="n"/>
      <c r="P39" s="42" t="n"/>
      <c r="AJ39" s="2" t="inlineStr">
        <is>
          <t>LCS: 7/13 - 7/20</t>
        </is>
      </c>
      <c r="AK39" t="n">
        <v>0</v>
      </c>
      <c r="AL39" t="n">
        <v>0.6666666666666666</v>
      </c>
      <c r="AN39" s="2" t="inlineStr">
        <is>
          <t>LCS: 7/13 - 7/20</t>
        </is>
      </c>
      <c r="AO39" t="n">
        <v>0</v>
      </c>
      <c r="AP39" t="n">
        <v>0</v>
      </c>
    </row>
    <row r="40">
      <c r="A40" s="37" t="n"/>
      <c r="B40" s="37" t="n"/>
      <c r="C40" s="37" t="n"/>
      <c r="D40" s="37" t="n"/>
      <c r="E40" s="37" t="n"/>
      <c r="F40" s="37" t="n"/>
      <c r="G40" s="37" t="n"/>
      <c r="H40" s="37" t="n"/>
      <c r="I40" s="37" t="n"/>
      <c r="J40" s="37" t="n"/>
      <c r="K40" s="37" t="n"/>
      <c r="L40" s="37" t="n"/>
      <c r="M40" s="37" t="n"/>
      <c r="N40" s="37" t="n"/>
      <c r="O40" s="42" t="n"/>
      <c r="P40" s="42" t="n"/>
      <c r="AJ40" s="2" t="inlineStr">
        <is>
          <t>LCS: 7/20 - 7/27</t>
        </is>
      </c>
      <c r="AK40" t="n">
        <v>0</v>
      </c>
      <c r="AL40" t="n">
        <v>0</v>
      </c>
      <c r="AN40" s="2" t="inlineStr">
        <is>
          <t>LCS: 7/20 - 7/27</t>
        </is>
      </c>
      <c r="AO40" t="n">
        <v>0</v>
      </c>
      <c r="AP40" t="n">
        <v>0</v>
      </c>
    </row>
    <row r="41">
      <c r="A41" s="37" t="n"/>
      <c r="B41" s="37" t="n"/>
      <c r="C41" s="37" t="n"/>
      <c r="D41" s="37" t="n"/>
      <c r="E41" s="37" t="n"/>
      <c r="F41" s="37" t="n"/>
      <c r="G41" s="37" t="n"/>
      <c r="H41" s="37" t="n"/>
      <c r="I41" s="37" t="n"/>
      <c r="J41" s="37" t="n"/>
      <c r="K41" s="37" t="n"/>
      <c r="L41" s="37" t="n"/>
      <c r="M41" s="37" t="n"/>
      <c r="N41" s="37" t="n"/>
      <c r="O41" s="42" t="n"/>
      <c r="P41" s="42" t="n"/>
      <c r="AJ41" s="2" t="inlineStr">
        <is>
          <t>LCS: 7/27 - 8/03</t>
        </is>
      </c>
      <c r="AK41" t="n">
        <v>0</v>
      </c>
      <c r="AL41" t="n">
        <v>2</v>
      </c>
      <c r="AN41" s="2" t="inlineStr">
        <is>
          <t>LCS: 7/27 - 8/03</t>
        </is>
      </c>
      <c r="AO41" t="n">
        <v>0</v>
      </c>
      <c r="AP41" t="n">
        <v>0</v>
      </c>
    </row>
    <row r="42">
      <c r="A42" s="37" t="n"/>
      <c r="B42" s="37" t="n"/>
      <c r="C42" s="37" t="n"/>
      <c r="D42" s="37" t="n"/>
      <c r="E42" s="37" t="n"/>
      <c r="F42" s="37" t="n"/>
      <c r="G42" s="37" t="n"/>
      <c r="H42" s="37" t="n"/>
      <c r="I42" s="37" t="n"/>
      <c r="J42" s="37" t="n"/>
      <c r="K42" s="37" t="n"/>
      <c r="L42" s="37" t="n"/>
      <c r="M42" s="37" t="n"/>
      <c r="N42" s="37" t="n"/>
      <c r="O42" s="42" t="n"/>
      <c r="P42" s="42" t="n"/>
      <c r="AJ42" s="2" t="inlineStr">
        <is>
          <t>LCS: 8/03 - 8/10</t>
        </is>
      </c>
      <c r="AK42" t="n">
        <v>0</v>
      </c>
      <c r="AL42" t="n">
        <v>0.5</v>
      </c>
      <c r="AN42" s="2" t="inlineStr">
        <is>
          <t>LCS: 8/03 - 8/10</t>
        </is>
      </c>
      <c r="AO42" t="n">
        <v>0</v>
      </c>
      <c r="AP42" t="n">
        <v>0</v>
      </c>
    </row>
    <row r="43">
      <c r="A43" s="37" t="n"/>
      <c r="B43" s="37" t="n"/>
      <c r="C43" s="37" t="n"/>
      <c r="D43" s="37" t="n"/>
      <c r="E43" s="37" t="n"/>
      <c r="F43" s="37" t="n"/>
      <c r="G43" s="37" t="n"/>
      <c r="H43" s="37" t="n"/>
      <c r="I43" s="37" t="n"/>
      <c r="J43" s="37" t="n"/>
      <c r="K43" s="37" t="n"/>
      <c r="L43" s="37" t="n"/>
      <c r="M43" s="37" t="n"/>
      <c r="N43" s="37" t="n"/>
      <c r="O43" s="42" t="n"/>
      <c r="P43" s="42" t="n"/>
      <c r="AJ43" s="2" t="inlineStr">
        <is>
          <t>LCS: 8/10 - 8/17</t>
        </is>
      </c>
      <c r="AK43" t="n">
        <v>0</v>
      </c>
      <c r="AL43" t="n">
        <v>0</v>
      </c>
      <c r="AN43" s="2" t="inlineStr">
        <is>
          <t>LCS: 8/10 - 8/17</t>
        </is>
      </c>
      <c r="AO43" t="n">
        <v>0</v>
      </c>
      <c r="AP43" t="n">
        <v>0</v>
      </c>
    </row>
    <row r="44">
      <c r="A44" s="37" t="n"/>
      <c r="B44" s="37" t="n"/>
      <c r="C44" s="37" t="n"/>
      <c r="D44" s="37" t="n"/>
      <c r="E44" s="37" t="n"/>
      <c r="F44" s="37" t="n"/>
      <c r="G44" s="37" t="n"/>
      <c r="H44" s="37" t="n"/>
      <c r="I44" s="37" t="n"/>
      <c r="J44" s="37" t="n"/>
      <c r="K44" s="37" t="n"/>
      <c r="L44" s="37" t="n"/>
      <c r="M44" s="37" t="n"/>
      <c r="N44" s="37" t="n"/>
      <c r="O44" s="42" t="n"/>
      <c r="P44" s="42" t="n"/>
      <c r="AJ44" s="2" t="inlineStr">
        <is>
          <t>LCS: 8/17 - 8/24</t>
        </is>
      </c>
      <c r="AK44" t="n">
        <v>0</v>
      </c>
      <c r="AL44" t="n">
        <v>0</v>
      </c>
      <c r="AN44" s="2" t="inlineStr">
        <is>
          <t>LCS: 8/17 - 8/24</t>
        </is>
      </c>
      <c r="AO44" t="n">
        <v>0</v>
      </c>
      <c r="AP44" t="n">
        <v>0</v>
      </c>
    </row>
    <row r="45">
      <c r="A45" s="37" t="n"/>
      <c r="B45" s="37" t="n"/>
      <c r="C45" s="37" t="n"/>
      <c r="D45" s="37" t="n"/>
      <c r="E45" s="37" t="n"/>
      <c r="F45" s="37" t="n"/>
      <c r="G45" s="37" t="n"/>
      <c r="H45" s="37" t="n"/>
      <c r="I45" s="37" t="n"/>
      <c r="J45" s="37" t="n"/>
      <c r="K45" s="37" t="n"/>
      <c r="L45" s="37" t="n"/>
      <c r="M45" s="37" t="n"/>
      <c r="N45" s="37" t="n"/>
      <c r="O45" s="42" t="n"/>
      <c r="P45" s="42" t="n"/>
      <c r="AJ45" s="2" t="inlineStr">
        <is>
          <t>LCS: 8/24 - 8/31</t>
        </is>
      </c>
      <c r="AK45" t="n">
        <v>0.15</v>
      </c>
      <c r="AL45" t="n">
        <v>0</v>
      </c>
      <c r="AN45" s="2" t="inlineStr">
        <is>
          <t>LCS: 8/24 - 8/31</t>
        </is>
      </c>
      <c r="AO45" t="n">
        <v>0</v>
      </c>
      <c r="AP45" t="n">
        <v>0</v>
      </c>
    </row>
    <row r="46">
      <c r="A46" s="37" t="n"/>
      <c r="B46" s="37" t="n"/>
      <c r="C46" s="37" t="n"/>
      <c r="D46" s="37" t="n"/>
      <c r="E46" s="37" t="n"/>
      <c r="F46" s="37" t="n"/>
      <c r="G46" s="37" t="n"/>
      <c r="H46" s="37" t="n"/>
      <c r="I46" s="37" t="n"/>
      <c r="J46" s="37" t="n"/>
      <c r="K46" s="37" t="n"/>
      <c r="L46" s="37" t="n"/>
      <c r="M46" s="37" t="n"/>
      <c r="N46" s="37" t="n"/>
      <c r="O46" s="42" t="n"/>
      <c r="P46" s="42" t="n"/>
      <c r="AJ46" s="2" t="inlineStr">
        <is>
          <t>LCS: 9/07 - 9/14</t>
        </is>
      </c>
      <c r="AK46" t="n">
        <v>0.09523809523809523</v>
      </c>
      <c r="AL46" t="n">
        <v>2</v>
      </c>
      <c r="AN46" s="2" t="inlineStr">
        <is>
          <t>LCS: 9/07 - 9/14</t>
        </is>
      </c>
      <c r="AO46" t="n">
        <v>0</v>
      </c>
      <c r="AP46" t="n">
        <v>0</v>
      </c>
    </row>
    <row r="47">
      <c r="A47" s="37" t="n"/>
      <c r="B47" s="37" t="n"/>
      <c r="C47" s="37" t="n"/>
      <c r="D47" s="37" t="n"/>
      <c r="E47" s="37" t="n"/>
      <c r="F47" s="37" t="n"/>
      <c r="G47" s="37" t="n"/>
      <c r="H47" s="37" t="n"/>
      <c r="I47" s="37" t="n"/>
      <c r="J47" s="37" t="n"/>
      <c r="K47" s="37" t="n"/>
      <c r="L47" s="37" t="n"/>
      <c r="M47" s="37" t="n"/>
      <c r="N47" s="37" t="n"/>
      <c r="O47" s="42" t="n"/>
      <c r="P47" s="42" t="n"/>
      <c r="AJ47" s="2" t="inlineStr">
        <is>
          <t>LCS: 9/14 - 9/21</t>
        </is>
      </c>
      <c r="AK47" t="n">
        <v>0.125</v>
      </c>
      <c r="AL47" t="n">
        <v>0.6666666666666666</v>
      </c>
      <c r="AN47" s="2" t="inlineStr">
        <is>
          <t>LCS: 9/14 - 9/21</t>
        </is>
      </c>
      <c r="AO47" t="n">
        <v>0</v>
      </c>
      <c r="AP47" t="n">
        <v>0</v>
      </c>
    </row>
    <row r="48">
      <c r="AJ48" s="2" t="inlineStr">
        <is>
          <t>LCS: 9/21 - 9/28</t>
        </is>
      </c>
      <c r="AK48" t="n">
        <v>0.2352941176470588</v>
      </c>
      <c r="AL48" t="n">
        <v>0</v>
      </c>
      <c r="AN48" s="2" t="inlineStr">
        <is>
          <t>LCS: 9/21 - 9/28</t>
        </is>
      </c>
      <c r="AO48" t="n">
        <v>0</v>
      </c>
      <c r="AP48" t="n">
        <v>0</v>
      </c>
    </row>
    <row r="49">
      <c r="AJ49" s="2" t="inlineStr">
        <is>
          <t>LCS: 9/28 - 10/05</t>
        </is>
      </c>
      <c r="AK49" t="n">
        <v>0</v>
      </c>
      <c r="AL49" t="n">
        <v>0</v>
      </c>
      <c r="AN49" s="2" t="inlineStr">
        <is>
          <t>LCS: 9/28 - 10/05</t>
        </is>
      </c>
      <c r="AO49" t="n">
        <v>0</v>
      </c>
      <c r="AP49" t="n">
        <v>0</v>
      </c>
    </row>
    <row r="50">
      <c r="AJ50" s="2" t="inlineStr">
        <is>
          <t>LCS: 8/31 - 9/07</t>
        </is>
      </c>
      <c r="AK50" t="n">
        <v>0.2307692307692308</v>
      </c>
      <c r="AL50" t="n">
        <v>0.4285714285714285</v>
      </c>
      <c r="AN50" s="2" t="inlineStr">
        <is>
          <t>LCS: 8/31 - 9/07</t>
        </is>
      </c>
      <c r="AO50" t="n">
        <v>0</v>
      </c>
      <c r="AP50" t="n">
        <v>0</v>
      </c>
    </row>
    <row r="51">
      <c r="AJ51" s="2" t="inlineStr">
        <is>
          <t>Grand Total</t>
        </is>
      </c>
      <c r="AK51" t="n">
        <v>0.836301443654385</v>
      </c>
      <c r="AL51" t="n">
        <v>6.547619047619048</v>
      </c>
      <c r="AN51" s="2" t="inlineStr">
        <is>
          <t>Grand Total</t>
        </is>
      </c>
      <c r="AO51" t="n">
        <v>0</v>
      </c>
      <c r="AP51" t="n">
        <v>0</v>
      </c>
    </row>
    <row r="52" ht="15.75" customHeight="1" thickBot="1"/>
    <row r="53" ht="15.75" customHeight="1" thickBot="1">
      <c r="AJ53" s="14" t="inlineStr">
        <is>
          <t>Sprint</t>
        </is>
      </c>
      <c r="AK53" s="15" t="inlineStr">
        <is>
          <t>V2</t>
        </is>
      </c>
      <c r="AL53" s="16" t="inlineStr">
        <is>
          <t>LT</t>
        </is>
      </c>
      <c r="AN53" s="14" t="inlineStr">
        <is>
          <t>Sprint</t>
        </is>
      </c>
      <c r="AO53" s="15" t="inlineStr">
        <is>
          <t>V2</t>
        </is>
      </c>
      <c r="AP53" s="16" t="inlineStr">
        <is>
          <t>LT</t>
        </is>
      </c>
    </row>
    <row r="54">
      <c r="AJ54" s="17">
        <f>AJ37</f>
        <v/>
      </c>
      <c r="AK54" s="23">
        <f>AK37</f>
        <v/>
      </c>
      <c r="AL54" s="24">
        <f>AL37</f>
        <v/>
      </c>
      <c r="AN54" s="17">
        <f>AN37</f>
        <v/>
      </c>
      <c r="AO54" s="23">
        <f>AO37</f>
        <v/>
      </c>
      <c r="AP54" s="24">
        <f>AP37</f>
        <v/>
      </c>
    </row>
    <row r="55">
      <c r="AJ55" s="17">
        <f>AJ38</f>
        <v/>
      </c>
      <c r="AK55" s="23">
        <f>AK38</f>
        <v/>
      </c>
      <c r="AL55" s="24">
        <f>AL38</f>
        <v/>
      </c>
      <c r="AN55" s="17">
        <f>AN38</f>
        <v/>
      </c>
      <c r="AO55" s="23">
        <f>AO38</f>
        <v/>
      </c>
      <c r="AP55" s="24">
        <f>AP38</f>
        <v/>
      </c>
    </row>
    <row r="56">
      <c r="AJ56" s="17">
        <f>AJ39</f>
        <v/>
      </c>
      <c r="AK56" s="23">
        <f>AK39</f>
        <v/>
      </c>
      <c r="AL56" s="24">
        <f>AL39</f>
        <v/>
      </c>
      <c r="AN56" s="17">
        <f>AN39</f>
        <v/>
      </c>
      <c r="AO56" s="23">
        <f>AO39</f>
        <v/>
      </c>
      <c r="AP56" s="24">
        <f>AP39</f>
        <v/>
      </c>
    </row>
    <row r="57">
      <c r="AJ57" s="17">
        <f>AJ40</f>
        <v/>
      </c>
      <c r="AK57" s="23">
        <f>AK40</f>
        <v/>
      </c>
      <c r="AL57" s="24">
        <f>AL40</f>
        <v/>
      </c>
      <c r="AN57" s="17">
        <f>AN40</f>
        <v/>
      </c>
      <c r="AO57" s="23">
        <f>AO40</f>
        <v/>
      </c>
      <c r="AP57" s="24">
        <f>AP40</f>
        <v/>
      </c>
    </row>
    <row r="58">
      <c r="AJ58" s="17">
        <f>AJ41</f>
        <v/>
      </c>
      <c r="AK58" s="23">
        <f>AK41</f>
        <v/>
      </c>
      <c r="AL58" s="24">
        <f>AL41</f>
        <v/>
      </c>
      <c r="AN58" s="17">
        <f>AN41</f>
        <v/>
      </c>
      <c r="AO58" s="23">
        <f>AO41</f>
        <v/>
      </c>
      <c r="AP58" s="24">
        <f>AP41</f>
        <v/>
      </c>
    </row>
    <row r="59">
      <c r="AJ59" s="17">
        <f>AJ42</f>
        <v/>
      </c>
      <c r="AK59" s="23">
        <f>AK42</f>
        <v/>
      </c>
      <c r="AL59" s="24">
        <f>AL42</f>
        <v/>
      </c>
      <c r="AN59" s="17">
        <f>AN42</f>
        <v/>
      </c>
      <c r="AO59" s="23">
        <f>AO42</f>
        <v/>
      </c>
      <c r="AP59" s="24">
        <f>AP42</f>
        <v/>
      </c>
    </row>
    <row r="60">
      <c r="AJ60" s="17">
        <f>AJ43</f>
        <v/>
      </c>
      <c r="AK60" s="23">
        <f>AK43</f>
        <v/>
      </c>
      <c r="AL60" s="24">
        <f>AL43</f>
        <v/>
      </c>
      <c r="AN60" s="17">
        <f>AN43</f>
        <v/>
      </c>
      <c r="AO60" s="23">
        <f>AO43</f>
        <v/>
      </c>
      <c r="AP60" s="24">
        <f>AP43</f>
        <v/>
      </c>
    </row>
    <row r="61">
      <c r="AJ61" s="17">
        <f>AJ44</f>
        <v/>
      </c>
      <c r="AK61" s="23">
        <f>AK44</f>
        <v/>
      </c>
      <c r="AL61" s="24">
        <f>AL44</f>
        <v/>
      </c>
      <c r="AN61" s="17">
        <f>AN44</f>
        <v/>
      </c>
      <c r="AO61" s="23">
        <f>AO44</f>
        <v/>
      </c>
      <c r="AP61" s="24">
        <f>AP44</f>
        <v/>
      </c>
    </row>
    <row r="62">
      <c r="AJ62" s="17">
        <f>AJ45</f>
        <v/>
      </c>
      <c r="AK62" s="23">
        <f>AK45</f>
        <v/>
      </c>
      <c r="AL62" s="24">
        <f>AL45</f>
        <v/>
      </c>
      <c r="AN62" s="17">
        <f>AN45</f>
        <v/>
      </c>
      <c r="AO62" s="23">
        <f>AO45</f>
        <v/>
      </c>
      <c r="AP62" s="24">
        <f>AP45</f>
        <v/>
      </c>
    </row>
    <row r="63">
      <c r="AJ63" s="17">
        <f>AJ46</f>
        <v/>
      </c>
      <c r="AK63" s="23">
        <f>AK46</f>
        <v/>
      </c>
      <c r="AL63" s="24">
        <f>AL46</f>
        <v/>
      </c>
      <c r="AN63" s="17">
        <f>AN46</f>
        <v/>
      </c>
      <c r="AO63" s="23">
        <f>AO46</f>
        <v/>
      </c>
      <c r="AP63" s="24">
        <f>AP46</f>
        <v/>
      </c>
    </row>
    <row r="64">
      <c r="AJ64" s="17">
        <f>AJ47</f>
        <v/>
      </c>
      <c r="AK64" s="23">
        <f>AK47</f>
        <v/>
      </c>
      <c r="AL64" s="24">
        <f>AL47</f>
        <v/>
      </c>
      <c r="AN64" s="17">
        <f>AN47</f>
        <v/>
      </c>
      <c r="AO64" s="23">
        <f>AO47</f>
        <v/>
      </c>
      <c r="AP64" s="24">
        <f>AP47</f>
        <v/>
      </c>
    </row>
    <row r="65">
      <c r="AJ65" s="17">
        <f>AJ48</f>
        <v/>
      </c>
      <c r="AK65" s="23">
        <f>AK48</f>
        <v/>
      </c>
      <c r="AL65" s="24">
        <f>AL48</f>
        <v/>
      </c>
      <c r="AN65" s="17">
        <f>AN48</f>
        <v/>
      </c>
      <c r="AO65" s="23">
        <f>AO48</f>
        <v/>
      </c>
      <c r="AP65" s="24">
        <f>AP48</f>
        <v/>
      </c>
    </row>
    <row r="66">
      <c r="AJ66" s="17">
        <f>AJ49</f>
        <v/>
      </c>
      <c r="AK66" s="23">
        <f>AK49</f>
        <v/>
      </c>
      <c r="AL66" s="24">
        <f>AL49</f>
        <v/>
      </c>
      <c r="AN66" s="17">
        <f>AN49</f>
        <v/>
      </c>
      <c r="AO66" s="23">
        <f>AO49</f>
        <v/>
      </c>
      <c r="AP66" s="24">
        <f>AP49</f>
        <v/>
      </c>
    </row>
    <row r="67" ht="15.75" customHeight="1" thickBot="1">
      <c r="AJ67" s="18">
        <f>AJ50</f>
        <v/>
      </c>
      <c r="AK67" s="25">
        <f>AK50</f>
        <v/>
      </c>
      <c r="AL67" s="26">
        <f>AL50</f>
        <v/>
      </c>
      <c r="AN67" s="18">
        <f>AN50</f>
        <v/>
      </c>
      <c r="AO67" s="25">
        <f>AO50</f>
        <v/>
      </c>
      <c r="AP67" s="26">
        <f>AP50</f>
        <v/>
      </c>
    </row>
  </sheetData>
  <pageMargins left="0.7" right="0.7" top="0.75" bottom="0.75" header="0.3" footer="0.3"/>
  <pageSetup orientation="portrait"/>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2" activePane="bottomLeft" state="frozen"/>
      <selection pane="bottomLeft" activeCell="R3" sqref="R3"/>
    </sheetView>
  </sheetViews>
  <sheetFormatPr baseColWidth="8" defaultRowHeight="15"/>
  <cols>
    <col width="20.85546875" bestFit="1" customWidth="1" min="3" max="3"/>
    <col width="24.42578125" bestFit="1" customWidth="1" min="20" max="20"/>
    <col width="20.140625" bestFit="1" customWidth="1" style="1" min="21" max="21"/>
    <col width="16" bestFit="1" customWidth="1" style="1" min="22" max="22"/>
    <col width="5.5703125" customWidth="1" style="1" min="23" max="23"/>
    <col width="6.5703125" customWidth="1" style="1" min="24" max="24"/>
    <col width="10.28515625" customWidth="1" style="1" min="25" max="25"/>
    <col width="16.7109375" bestFit="1" customWidth="1" style="1" min="26" max="26"/>
    <col width="16.85546875" bestFit="1" customWidth="1" style="1" min="27" max="27"/>
    <col width="11.85546875" bestFit="1" customWidth="1" style="1" min="28" max="28"/>
    <col width="10.28515625" bestFit="1" customWidth="1" style="1" min="29" max="29"/>
    <col width="21.42578125" bestFit="1" customWidth="1" style="1" min="30" max="30"/>
    <col width="20.85546875" bestFit="1" customWidth="1" style="1" min="31" max="31"/>
    <col width="23.140625" bestFit="1" customWidth="1" style="1" min="32" max="32"/>
    <col width="22.7109375" bestFit="1" customWidth="1" style="1" min="33" max="33"/>
    <col width="26.28515625" bestFit="1" customWidth="1" style="19" min="34" max="34"/>
    <col width="17.85546875" bestFit="1" customWidth="1" min="36" max="36"/>
    <col width="28.5703125" bestFit="1" customWidth="1" min="37" max="37"/>
    <col width="28.140625" bestFit="1" customWidth="1" min="38" max="38"/>
    <col width="17.85546875" bestFit="1" customWidth="1" min="40" max="40"/>
    <col width="14.85546875" bestFit="1" customWidth="1" min="41" max="41"/>
    <col width="17.5703125" bestFit="1" customWidth="1" min="42" max="42"/>
  </cols>
  <sheetData>
    <row r="1">
      <c r="T1" s="54" t="inlineStr">
        <is>
          <t>Week Starting On</t>
        </is>
      </c>
      <c r="U1" s="54" t="inlineStr">
        <is>
          <t>Planned  Story Points</t>
        </is>
      </c>
      <c r="V1" s="54" t="inlineStr">
        <is>
          <t>Actual Delivered</t>
        </is>
      </c>
      <c r="W1" s="54" t="inlineStr">
        <is>
          <t>V2</t>
        </is>
      </c>
      <c r="X1" s="54" t="inlineStr">
        <is>
          <t>LT</t>
        </is>
      </c>
      <c r="Y1" s="54" t="inlineStr">
        <is>
          <t>Rework</t>
        </is>
      </c>
      <c r="Z1" s="54" t="inlineStr">
        <is>
          <t>Reopened SP (LT)</t>
        </is>
      </c>
      <c r="AA1" s="54" t="inlineStr">
        <is>
          <t>V2 Carryover</t>
        </is>
      </c>
      <c r="AB1" s="54" t="inlineStr">
        <is>
          <t>LT Carryover</t>
        </is>
      </c>
      <c r="AC1" s="54" t="inlineStr">
        <is>
          <t>QA Passed</t>
        </is>
      </c>
      <c r="AD1" s="45" t="inlineStr">
        <is>
          <t>V2 Reopen Percentage</t>
        </is>
      </c>
      <c r="AE1" s="45" t="inlineStr">
        <is>
          <t>LT Reopen Percentage</t>
        </is>
      </c>
      <c r="AF1" s="45" t="inlineStr">
        <is>
          <t>V2 Carryover Percentage</t>
        </is>
      </c>
      <c r="AG1" s="45" t="inlineStr">
        <is>
          <t>LT Carryover Percentage</t>
        </is>
      </c>
      <c r="AH1" s="107"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42" t="inlineStr">
        <is>
          <t>DASH 4/07-4/21</t>
        </is>
      </c>
      <c r="U2" s="55" t="n">
        <v>77</v>
      </c>
      <c r="V2" s="55" t="n">
        <v>49</v>
      </c>
      <c r="W2" s="55" t="n">
        <v>13</v>
      </c>
      <c r="X2" s="55">
        <f>U2-W2</f>
        <v/>
      </c>
      <c r="Y2" s="55" t="n">
        <v>2</v>
      </c>
      <c r="Z2" s="55" t="n">
        <v>25</v>
      </c>
      <c r="AA2" s="55" t="n">
        <v>0</v>
      </c>
      <c r="AB2" s="55" t="n">
        <v>0</v>
      </c>
      <c r="AC2" s="55">
        <f>W2-AA2</f>
        <v/>
      </c>
      <c r="AD2" s="47">
        <f>Y2/W2</f>
        <v/>
      </c>
      <c r="AE2" s="47">
        <f>Z2/X2</f>
        <v/>
      </c>
      <c r="AF2" s="47">
        <f>AA2/W2</f>
        <v/>
      </c>
      <c r="AG2" s="47">
        <f>AB2/X2</f>
        <v/>
      </c>
      <c r="AH2" s="53">
        <f>V2/U2</f>
        <v/>
      </c>
      <c r="AJ2" s="2" t="inlineStr">
        <is>
          <t>DASH 7/28-8/11</t>
        </is>
      </c>
      <c r="AK2" t="n">
        <v>6</v>
      </c>
      <c r="AL2" t="n">
        <v>92</v>
      </c>
      <c r="AN2" s="2" t="inlineStr">
        <is>
          <t>DASH 7/28-8/11</t>
        </is>
      </c>
      <c r="AO2" t="n">
        <v>6</v>
      </c>
      <c r="AP2" t="n">
        <v>0</v>
      </c>
      <c r="AV2" t="inlineStr">
        <is>
          <t>Green</t>
        </is>
      </c>
    </row>
    <row r="3">
      <c r="B3" s="17" t="n"/>
      <c r="Q3" s="10" t="n"/>
      <c r="T3" s="42" t="inlineStr">
        <is>
          <t>DASH 4/21-5/05</t>
        </is>
      </c>
      <c r="U3" s="55" t="n">
        <v>92</v>
      </c>
      <c r="V3" s="55" t="n">
        <v>67</v>
      </c>
      <c r="W3" s="55" t="n">
        <v>7</v>
      </c>
      <c r="X3" s="55">
        <f>U3-W3</f>
        <v/>
      </c>
      <c r="Y3" s="55" t="n">
        <v>2</v>
      </c>
      <c r="Z3" s="55" t="n">
        <v>22</v>
      </c>
      <c r="AA3" s="55" t="n">
        <v>3</v>
      </c>
      <c r="AB3" s="55" t="n">
        <v>17</v>
      </c>
      <c r="AC3" s="55">
        <f>W3-AA3</f>
        <v/>
      </c>
      <c r="AD3" s="47">
        <f>Y3/W3</f>
        <v/>
      </c>
      <c r="AE3" s="47">
        <f>Z3/X3</f>
        <v/>
      </c>
      <c r="AF3" s="47">
        <f>AA3/W3</f>
        <v/>
      </c>
      <c r="AG3" s="47">
        <f>AB3/X3</f>
        <v/>
      </c>
      <c r="AH3" s="105">
        <f>V3/U3</f>
        <v/>
      </c>
      <c r="AJ3" s="2" t="inlineStr">
        <is>
          <t>DASH 8/11-8/25</t>
        </is>
      </c>
      <c r="AK3" t="n">
        <v>13</v>
      </c>
      <c r="AL3" t="n">
        <v>65</v>
      </c>
      <c r="AN3" s="2" t="inlineStr">
        <is>
          <t>DASH 8/11-8/25</t>
        </is>
      </c>
      <c r="AO3" t="n">
        <v>10</v>
      </c>
      <c r="AP3" t="n">
        <v>8</v>
      </c>
      <c r="AV3" t="inlineStr">
        <is>
          <t>Red</t>
        </is>
      </c>
    </row>
    <row r="4">
      <c r="B4" s="17" t="n"/>
      <c r="Q4" s="10" t="n"/>
      <c r="T4" s="42" t="inlineStr">
        <is>
          <t>DASH 5/05-5/19</t>
        </is>
      </c>
      <c r="U4" s="55" t="n">
        <v>70</v>
      </c>
      <c r="V4" s="55" t="n">
        <v>67</v>
      </c>
      <c r="W4" s="55" t="n">
        <v>11</v>
      </c>
      <c r="X4" s="55">
        <f>U4-W4</f>
        <v/>
      </c>
      <c r="Y4" s="55" t="n">
        <v>5</v>
      </c>
      <c r="Z4" s="55" t="n">
        <v>9</v>
      </c>
      <c r="AA4" s="55" t="n">
        <v>0</v>
      </c>
      <c r="AB4" s="55" t="n">
        <v>3</v>
      </c>
      <c r="AC4" s="55">
        <f>W4-AA4</f>
        <v/>
      </c>
      <c r="AD4" s="47">
        <f>Y4/W4</f>
        <v/>
      </c>
      <c r="AE4" s="47">
        <f>Z4/X4</f>
        <v/>
      </c>
      <c r="AF4" s="47">
        <f>AA4/W4</f>
        <v/>
      </c>
      <c r="AG4" s="47">
        <f>AB4/X4</f>
        <v/>
      </c>
      <c r="AH4" s="47">
        <f>V4/U4</f>
        <v/>
      </c>
      <c r="AJ4" s="2" t="inlineStr">
        <is>
          <t>DASH 8/25-9/08</t>
        </is>
      </c>
      <c r="AK4" t="n">
        <v>9</v>
      </c>
      <c r="AL4" t="n">
        <v>65</v>
      </c>
      <c r="AN4" s="2" t="inlineStr">
        <is>
          <t>DASH 8/25-9/08</t>
        </is>
      </c>
      <c r="AO4" t="n">
        <v>5</v>
      </c>
      <c r="AP4" t="n">
        <v>4</v>
      </c>
      <c r="AV4" t="inlineStr">
        <is>
          <t>Amber</t>
        </is>
      </c>
    </row>
    <row r="5">
      <c r="B5" s="84" t="n"/>
      <c r="C5" s="86" t="n"/>
      <c r="D5" s="86" t="n"/>
      <c r="E5" s="86" t="n"/>
      <c r="F5" s="86" t="n"/>
      <c r="G5" s="86" t="n"/>
      <c r="H5" s="86" t="n"/>
      <c r="I5" s="86" t="n"/>
      <c r="J5" s="86" t="n"/>
      <c r="K5" s="86" t="n"/>
      <c r="L5" s="86" t="n"/>
      <c r="M5" s="86" t="n"/>
      <c r="N5" s="86" t="n"/>
      <c r="O5" s="86" t="n"/>
      <c r="P5" s="86" t="n"/>
      <c r="Q5" s="92" t="n"/>
      <c r="T5" s="42" t="inlineStr">
        <is>
          <t>DASH 5/19-6/02</t>
        </is>
      </c>
      <c r="U5" s="55" t="n">
        <v>80</v>
      </c>
      <c r="V5" s="55" t="n">
        <v>49</v>
      </c>
      <c r="W5" s="55" t="n">
        <v>10</v>
      </c>
      <c r="X5" s="55">
        <f>U5-W5</f>
        <v/>
      </c>
      <c r="Y5" s="55" t="n">
        <v>0</v>
      </c>
      <c r="Z5" s="55" t="n">
        <v>13</v>
      </c>
      <c r="AA5" s="55" t="n">
        <v>5</v>
      </c>
      <c r="AB5" s="55" t="n">
        <v>26</v>
      </c>
      <c r="AC5" s="55">
        <f>W5-AA5</f>
        <v/>
      </c>
      <c r="AD5" s="47">
        <f>Y5/W5</f>
        <v/>
      </c>
      <c r="AE5" s="47">
        <f>Z5/X5</f>
        <v/>
      </c>
      <c r="AF5" s="47">
        <f>AA5/W5</f>
        <v/>
      </c>
      <c r="AG5" s="47">
        <f>AB5/X5</f>
        <v/>
      </c>
      <c r="AH5" s="47">
        <f>V5/U5</f>
        <v/>
      </c>
      <c r="AJ5" s="2" t="inlineStr">
        <is>
          <t>DASH 9/22-10/06</t>
        </is>
      </c>
      <c r="AK5" t="n">
        <v>7</v>
      </c>
      <c r="AL5" t="n">
        <v>69</v>
      </c>
      <c r="AN5" s="2" t="inlineStr">
        <is>
          <t>DASH 9/22-10/06</t>
        </is>
      </c>
      <c r="AO5" t="n">
        <v>3</v>
      </c>
      <c r="AP5" t="n">
        <v>4</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42" t="inlineStr">
        <is>
          <t>DASH 6/02-6/16</t>
        </is>
      </c>
      <c r="U6" s="55" t="n">
        <v>96</v>
      </c>
      <c r="V6" s="55" t="n">
        <v>77</v>
      </c>
      <c r="W6" s="55" t="n">
        <v>10</v>
      </c>
      <c r="X6" s="55">
        <f>U6-W6</f>
        <v/>
      </c>
      <c r="Y6" s="55" t="n">
        <v>10</v>
      </c>
      <c r="Z6" s="55" t="n">
        <v>17</v>
      </c>
      <c r="AA6" s="55" t="n">
        <v>0</v>
      </c>
      <c r="AB6" s="55" t="n">
        <v>17</v>
      </c>
      <c r="AC6" s="55">
        <f>W6-AA6</f>
        <v/>
      </c>
      <c r="AD6" s="47">
        <f>Y6/W6</f>
        <v/>
      </c>
      <c r="AE6" s="47">
        <f>Z6/X6</f>
        <v/>
      </c>
      <c r="AF6" s="47">
        <f>AA6/W6</f>
        <v/>
      </c>
      <c r="AG6" s="47">
        <f>AB6/X6</f>
        <v/>
      </c>
      <c r="AH6" s="47">
        <f>V6/U6</f>
        <v/>
      </c>
      <c r="AJ6" s="2" t="inlineStr">
        <is>
          <t>DASH 10/06-10/20</t>
        </is>
      </c>
      <c r="AK6" t="n">
        <v>9</v>
      </c>
      <c r="AL6" t="n">
        <v>85</v>
      </c>
      <c r="AN6" s="2" t="inlineStr">
        <is>
          <t>DASH 10/06-10/20</t>
        </is>
      </c>
      <c r="AO6" t="n">
        <v>2</v>
      </c>
      <c r="AP6" t="n">
        <v>6</v>
      </c>
    </row>
    <row r="7">
      <c r="B7" s="85" t="n"/>
      <c r="C7" s="100" t="inlineStr">
        <is>
          <t>Sub Project</t>
        </is>
      </c>
      <c r="D7" s="310" t="inlineStr">
        <is>
          <t>MyLT Dash</t>
        </is>
      </c>
      <c r="H7" s="101" t="n"/>
      <c r="I7" s="101" t="n"/>
      <c r="J7" s="89" t="n"/>
      <c r="K7" s="89" t="n"/>
      <c r="L7" s="90" t="n"/>
      <c r="M7" s="90" t="n"/>
      <c r="N7" s="90" t="n"/>
      <c r="O7" s="90" t="n"/>
      <c r="P7" s="87" t="n"/>
      <c r="Q7" s="93" t="n"/>
      <c r="T7" s="42" t="inlineStr">
        <is>
          <t>DASH 6/16-6/30</t>
        </is>
      </c>
      <c r="U7" s="55" t="n">
        <v>82</v>
      </c>
      <c r="V7" s="55" t="n">
        <v>54</v>
      </c>
      <c r="W7" s="55" t="n">
        <v>5</v>
      </c>
      <c r="X7" s="55">
        <f>U7-W7</f>
        <v/>
      </c>
      <c r="Y7" s="55" t="n">
        <v>0</v>
      </c>
      <c r="Z7" s="55" t="n">
        <v>6</v>
      </c>
      <c r="AA7" s="55" t="n">
        <v>5</v>
      </c>
      <c r="AB7" s="55" t="n">
        <v>17</v>
      </c>
      <c r="AC7" s="55">
        <f>W7-AA7</f>
        <v/>
      </c>
      <c r="AD7" s="47">
        <f>Y7/W7</f>
        <v/>
      </c>
      <c r="AE7" s="47">
        <f>Z7/X7</f>
        <v/>
      </c>
      <c r="AF7" s="47">
        <f>AA7/W7</f>
        <v/>
      </c>
      <c r="AG7" s="47">
        <f>AB7/X7</f>
        <v/>
      </c>
      <c r="AH7" s="47">
        <f>V7/U7</f>
        <v/>
      </c>
      <c r="AJ7" s="2" t="inlineStr">
        <is>
          <t>DASH 10/20-11/03</t>
        </is>
      </c>
      <c r="AK7" t="n">
        <v>6</v>
      </c>
      <c r="AL7" t="n">
        <v>59</v>
      </c>
      <c r="AN7" s="2" t="inlineStr">
        <is>
          <t>DASH 10/20-11/03</t>
        </is>
      </c>
      <c r="AO7" t="n">
        <v>3</v>
      </c>
      <c r="AP7" t="n">
        <v>3</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42" t="inlineStr">
        <is>
          <t>DASH 6/30-7/14</t>
        </is>
      </c>
      <c r="U8" s="55" t="n">
        <v>82</v>
      </c>
      <c r="V8" s="55" t="n">
        <v>56</v>
      </c>
      <c r="W8" s="55" t="n">
        <v>9</v>
      </c>
      <c r="X8" s="55">
        <f>U8-W8</f>
        <v/>
      </c>
      <c r="Y8" s="55" t="n">
        <v>0</v>
      </c>
      <c r="Z8" s="55" t="n">
        <v>12</v>
      </c>
      <c r="AA8" s="55" t="n">
        <v>0</v>
      </c>
      <c r="AB8" s="55" t="n">
        <v>24</v>
      </c>
      <c r="AC8" s="55">
        <f>W8-AA8</f>
        <v/>
      </c>
      <c r="AD8" s="47">
        <f>Y8/W8</f>
        <v/>
      </c>
      <c r="AE8" s="47">
        <f>Z8/X8</f>
        <v/>
      </c>
      <c r="AF8" s="47">
        <f>AA8/W8</f>
        <v/>
      </c>
      <c r="AG8" s="47">
        <f>AB8/X8</f>
        <v/>
      </c>
      <c r="AH8" s="47">
        <f>V8/U8</f>
        <v/>
      </c>
      <c r="AN8" s="2" t="inlineStr">
        <is>
          <t>Grand Total</t>
        </is>
      </c>
      <c r="AO8" t="n">
        <v>29</v>
      </c>
      <c r="AP8" t="n">
        <v>25</v>
      </c>
    </row>
    <row r="9">
      <c r="B9" s="85" t="n"/>
      <c r="C9" s="100" t="inlineStr">
        <is>
          <t>Project Manager/Lead</t>
        </is>
      </c>
      <c r="D9" s="310" t="inlineStr">
        <is>
          <t>Ramesh</t>
        </is>
      </c>
      <c r="E9" s="310" t="n"/>
      <c r="F9" s="310" t="n"/>
      <c r="G9" s="310" t="n"/>
      <c r="H9" s="87" t="n"/>
      <c r="I9" s="87" t="n"/>
      <c r="J9" s="87" t="n"/>
      <c r="K9" s="87" t="n"/>
      <c r="L9" s="87" t="n"/>
      <c r="M9" s="87" t="n"/>
      <c r="N9" s="87" t="n"/>
      <c r="O9" s="87" t="n"/>
      <c r="P9" s="87" t="n"/>
      <c r="Q9" s="93" t="n"/>
      <c r="T9" s="42" t="inlineStr">
        <is>
          <t>DASH 7/14-7/28</t>
        </is>
      </c>
      <c r="U9" s="55" t="n">
        <v>84</v>
      </c>
      <c r="V9" s="55" t="n">
        <v>70</v>
      </c>
      <c r="W9" s="55" t="n">
        <v>2</v>
      </c>
      <c r="X9" s="55">
        <f>U9-W9</f>
        <v/>
      </c>
      <c r="Y9" s="55" t="n">
        <v>0</v>
      </c>
      <c r="Z9" s="55" t="n">
        <v>13</v>
      </c>
      <c r="AA9" s="55" t="n">
        <v>0</v>
      </c>
      <c r="AB9" s="55" t="n">
        <v>11</v>
      </c>
      <c r="AC9" s="55">
        <f>W9-AA9</f>
        <v/>
      </c>
      <c r="AD9" s="47">
        <f>Y9/W9</f>
        <v/>
      </c>
      <c r="AE9" s="47">
        <f>Z9/X9</f>
        <v/>
      </c>
      <c r="AF9" s="47">
        <f>AA9/W9</f>
        <v/>
      </c>
      <c r="AG9" s="47">
        <f>AB9/X9</f>
        <v/>
      </c>
      <c r="AH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56" t="inlineStr">
        <is>
          <t>DASH 7/28-8/11</t>
        </is>
      </c>
      <c r="U10" s="55" t="n">
        <v>98</v>
      </c>
      <c r="V10" s="57" t="n">
        <v>81</v>
      </c>
      <c r="W10" s="57" t="n">
        <v>6</v>
      </c>
      <c r="X10" s="55">
        <f>U10-W10</f>
        <v/>
      </c>
      <c r="Y10" s="57" t="n">
        <v>6</v>
      </c>
      <c r="Z10" s="57" t="n">
        <v>24</v>
      </c>
      <c r="AA10" s="57" t="n">
        <v>6</v>
      </c>
      <c r="AB10" s="57" t="n">
        <v>49</v>
      </c>
      <c r="AC10" s="55">
        <f>W10-AA10</f>
        <v/>
      </c>
      <c r="AD10" s="47">
        <f>Y10/W10</f>
        <v/>
      </c>
      <c r="AE10" s="47">
        <f>Z10/X10</f>
        <v/>
      </c>
      <c r="AF10" s="47">
        <f>AA10/W10</f>
        <v/>
      </c>
      <c r="AG10" s="47">
        <f>AB10/X10</f>
        <v/>
      </c>
      <c r="AH10" s="47">
        <f>V10/U10</f>
        <v/>
      </c>
    </row>
    <row r="11">
      <c r="B11" s="85" t="n"/>
      <c r="C11" s="100" t="inlineStr">
        <is>
          <t>Client Feedback</t>
        </is>
      </c>
      <c r="D11" s="310" t="inlineStr">
        <is>
          <t>-</t>
        </is>
      </c>
      <c r="H11" s="87" t="n"/>
      <c r="I11" s="87" t="n"/>
      <c r="J11" s="90" t="n"/>
      <c r="K11" s="90" t="n"/>
      <c r="L11" s="90" t="n"/>
      <c r="M11" s="90" t="n"/>
      <c r="N11" s="90" t="n"/>
      <c r="O11" s="90" t="n"/>
      <c r="P11" s="87" t="n"/>
      <c r="Q11" s="93" t="n"/>
      <c r="T11" s="56" t="inlineStr">
        <is>
          <t>DASH 8/11-8/25</t>
        </is>
      </c>
      <c r="U11" s="55" t="n">
        <v>78</v>
      </c>
      <c r="V11" s="57" t="n">
        <v>70</v>
      </c>
      <c r="W11" s="57" t="n">
        <v>13</v>
      </c>
      <c r="X11" s="55">
        <f>U11-W11</f>
        <v/>
      </c>
      <c r="Y11" s="57" t="n">
        <v>10</v>
      </c>
      <c r="Z11" s="57" t="n">
        <v>46</v>
      </c>
      <c r="AA11" s="57" t="n">
        <v>5</v>
      </c>
      <c r="AB11" s="57" t="n">
        <v>3</v>
      </c>
      <c r="AC11" s="55">
        <f>W11-AA11</f>
        <v/>
      </c>
      <c r="AD11" s="47">
        <f>Y11/W11</f>
        <v/>
      </c>
      <c r="AE11" s="47">
        <f>Z11/X11</f>
        <v/>
      </c>
      <c r="AF11" s="47">
        <f>AA11/W11</f>
        <v/>
      </c>
      <c r="AG11" s="47">
        <f>AB11/X11</f>
        <v/>
      </c>
      <c r="AH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56" t="inlineStr">
        <is>
          <t>DASH 8/25-9/08</t>
        </is>
      </c>
      <c r="U12" s="55" t="n">
        <v>74</v>
      </c>
      <c r="V12" s="57">
        <f>U12-AB12+AA12</f>
        <v/>
      </c>
      <c r="W12" s="57" t="n">
        <v>9</v>
      </c>
      <c r="X12" s="55">
        <f>U12-W12</f>
        <v/>
      </c>
      <c r="Y12" s="57" t="n">
        <v>5</v>
      </c>
      <c r="Z12" s="57" t="n">
        <v>10</v>
      </c>
      <c r="AA12" s="57" t="n">
        <v>5</v>
      </c>
      <c r="AB12" s="57" t="n">
        <v>17</v>
      </c>
      <c r="AC12" s="55">
        <f>W12-AA12</f>
        <v/>
      </c>
      <c r="AD12" s="47">
        <f>Y12/W12</f>
        <v/>
      </c>
      <c r="AE12" s="47">
        <f>Z12/X12</f>
        <v/>
      </c>
      <c r="AF12" s="47">
        <f>AA12/W12</f>
        <v/>
      </c>
      <c r="AG12" s="47">
        <f>AB12/X12</f>
        <v/>
      </c>
      <c r="AH12" s="47">
        <f>V12/U12</f>
        <v/>
      </c>
      <c r="AJ12" s="14" t="inlineStr">
        <is>
          <t>Sprint</t>
        </is>
      </c>
      <c r="AK12" s="15" t="inlineStr">
        <is>
          <t>V2</t>
        </is>
      </c>
      <c r="AL12" s="16" t="inlineStr">
        <is>
          <t>LT</t>
        </is>
      </c>
      <c r="AN12" s="5" t="inlineStr">
        <is>
          <t>QA Passed</t>
        </is>
      </c>
      <c r="AO12" s="6">
        <f>GETPIVOTDATA("Sum of QA Passed",$AN$1)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56" t="inlineStr">
        <is>
          <t>DASH 9/22-10/06</t>
        </is>
      </c>
      <c r="U13" s="55" t="n">
        <v>76</v>
      </c>
      <c r="V13" s="57" t="n">
        <v>62</v>
      </c>
      <c r="W13" s="57" t="n">
        <v>7</v>
      </c>
      <c r="X13" s="55">
        <f>U13-W13</f>
        <v/>
      </c>
      <c r="Y13" s="57" t="n">
        <v>3</v>
      </c>
      <c r="Z13" s="57" t="n">
        <v>5</v>
      </c>
      <c r="AA13" s="57" t="n">
        <v>3</v>
      </c>
      <c r="AB13" s="57" t="n">
        <v>10</v>
      </c>
      <c r="AC13" s="55">
        <f>W13-AA13</f>
        <v/>
      </c>
      <c r="AD13" s="47">
        <f>Y13/W13</f>
        <v/>
      </c>
      <c r="AE13" s="47">
        <f>Z13/X13</f>
        <v/>
      </c>
      <c r="AF13" s="47">
        <f>AA13/W13</f>
        <v/>
      </c>
      <c r="AG13" s="47">
        <f>AB13/X13</f>
        <v/>
      </c>
      <c r="AH13" s="47">
        <f>V13/U13</f>
        <v/>
      </c>
      <c r="AJ13" s="9">
        <f>AJ2</f>
        <v/>
      </c>
      <c r="AK13">
        <f>AK2</f>
        <v/>
      </c>
      <c r="AL13" s="10">
        <f>AL2</f>
        <v/>
      </c>
      <c r="AN13" s="7" t="inlineStr">
        <is>
          <t>Rework</t>
        </is>
      </c>
      <c r="AO13" s="8">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56" t="inlineStr">
        <is>
          <t>DASH 10/06-10/20</t>
        </is>
      </c>
      <c r="U14" s="55" t="n">
        <v>94</v>
      </c>
      <c r="V14" s="57" t="n">
        <v>44</v>
      </c>
      <c r="W14" s="57" t="n">
        <v>9</v>
      </c>
      <c r="X14" s="55">
        <f>U14-W14</f>
        <v/>
      </c>
      <c r="Y14" s="57" t="n">
        <v>2</v>
      </c>
      <c r="Z14" s="57" t="n">
        <v>6</v>
      </c>
      <c r="AA14" s="57" t="n">
        <v>3</v>
      </c>
      <c r="AB14" s="57" t="n">
        <v>12</v>
      </c>
      <c r="AC14" s="55">
        <f>W14-AA14</f>
        <v/>
      </c>
      <c r="AD14" s="47">
        <f>Y14/W14</f>
        <v/>
      </c>
      <c r="AE14" s="47">
        <f>Z14/X14</f>
        <v/>
      </c>
      <c r="AF14" s="47">
        <f>AA14/W14</f>
        <v/>
      </c>
      <c r="AG14" s="47">
        <f>AB14/X14</f>
        <v/>
      </c>
      <c r="AH14" s="47">
        <f>V14/U14</f>
        <v/>
      </c>
      <c r="AJ14" s="9">
        <f>AJ3</f>
        <v/>
      </c>
      <c r="AK14">
        <f>AK3</f>
        <v/>
      </c>
      <c r="AL14" s="10">
        <f>AL3</f>
        <v/>
      </c>
    </row>
    <row r="15">
      <c r="B15" s="94" t="n"/>
      <c r="C15" s="95" t="n"/>
      <c r="D15" s="96" t="n"/>
      <c r="E15" s="96" t="n"/>
      <c r="F15" s="96" t="n"/>
      <c r="G15" s="96" t="n"/>
      <c r="H15" s="96" t="n"/>
      <c r="I15" s="96" t="n"/>
      <c r="J15" s="96" t="n"/>
      <c r="K15" s="96" t="n"/>
      <c r="L15" s="96" t="n"/>
      <c r="M15" s="96" t="n"/>
      <c r="N15" s="97" t="n"/>
      <c r="O15" s="98" t="n"/>
      <c r="P15" s="98" t="n"/>
      <c r="Q15" s="99" t="n"/>
      <c r="T15" s="42" t="inlineStr">
        <is>
          <t>DASH 10/20-11/03</t>
        </is>
      </c>
      <c r="U15" s="55" t="n">
        <v>65</v>
      </c>
      <c r="V15" s="55" t="n">
        <v>72</v>
      </c>
      <c r="W15" s="55" t="n">
        <v>6</v>
      </c>
      <c r="X15" s="55">
        <f>U15-W15</f>
        <v/>
      </c>
      <c r="Y15" s="57" t="n">
        <v>3</v>
      </c>
      <c r="Z15" s="57" t="n">
        <v>6</v>
      </c>
      <c r="AA15" s="57" t="n">
        <v>3</v>
      </c>
      <c r="AB15" s="57" t="n">
        <v>11</v>
      </c>
      <c r="AC15" s="55">
        <f>W15-AA15</f>
        <v/>
      </c>
      <c r="AD15" s="47">
        <f>Y15/W15</f>
        <v/>
      </c>
      <c r="AE15" s="47">
        <f>Z15/X15</f>
        <v/>
      </c>
      <c r="AF15" s="47">
        <f>AA15/W15</f>
        <v/>
      </c>
      <c r="AG15" s="47">
        <f>AB15/X15</f>
        <v/>
      </c>
      <c r="AH15" s="47">
        <f>V15/U15</f>
        <v/>
      </c>
      <c r="AJ15" s="9">
        <f>AJ4</f>
        <v/>
      </c>
      <c r="AK15">
        <f>AK4</f>
        <v/>
      </c>
      <c r="AL15" s="10">
        <f>AL4</f>
        <v/>
      </c>
    </row>
    <row r="16">
      <c r="T16" s="42" t="inlineStr">
        <is>
          <t>DASH 11/03-11/17</t>
        </is>
      </c>
      <c r="U16" s="55" t="n">
        <v>55</v>
      </c>
      <c r="V16" s="55" t="n">
        <v>60</v>
      </c>
      <c r="W16" s="55" t="n">
        <v>0</v>
      </c>
      <c r="X16" s="55">
        <f>U16-W16</f>
        <v/>
      </c>
      <c r="Y16" s="55" t="n">
        <v>0</v>
      </c>
      <c r="Z16" s="55" t="n">
        <v>10</v>
      </c>
      <c r="AA16" s="55" t="n">
        <v>0</v>
      </c>
      <c r="AB16" s="55" t="n">
        <v>8</v>
      </c>
      <c r="AC16" s="55">
        <f>W16-AA16</f>
        <v/>
      </c>
      <c r="AD16" s="47">
        <f>Y16/W16</f>
        <v/>
      </c>
      <c r="AE16" s="47">
        <f>Z16/X16</f>
        <v/>
      </c>
      <c r="AF16" s="47">
        <f>AA16/W16</f>
        <v/>
      </c>
      <c r="AG16" s="47">
        <f>AB16/X16</f>
        <v/>
      </c>
      <c r="AH16" s="47">
        <f>V16/U16</f>
        <v/>
      </c>
      <c r="AJ16" s="9">
        <f>AJ5</f>
        <v/>
      </c>
      <c r="AK16">
        <f>AK5</f>
        <v/>
      </c>
      <c r="AL16" s="10">
        <f>AL5</f>
        <v/>
      </c>
    </row>
    <row r="17">
      <c r="T17" s="42" t="inlineStr">
        <is>
          <t>DASH 11/17-12/01</t>
        </is>
      </c>
      <c r="U17" s="55" t="n">
        <v>45</v>
      </c>
      <c r="V17" s="55" t="n">
        <v>25</v>
      </c>
      <c r="W17" s="55" t="n">
        <v>2</v>
      </c>
      <c r="X17" s="55">
        <f>U17-W17</f>
        <v/>
      </c>
      <c r="Y17" s="55" t="n">
        <v>0</v>
      </c>
      <c r="Z17" s="55" t="n">
        <v>9</v>
      </c>
      <c r="AA17" s="55" t="n">
        <v>0</v>
      </c>
      <c r="AB17" s="55" t="n">
        <v>17</v>
      </c>
      <c r="AC17" s="55">
        <f>W17-AA17</f>
        <v/>
      </c>
      <c r="AD17" s="47">
        <f>Y17/W17</f>
        <v/>
      </c>
      <c r="AE17" s="47">
        <f>Z17/X17</f>
        <v/>
      </c>
      <c r="AF17" s="47">
        <f>AA17/W17</f>
        <v/>
      </c>
      <c r="AG17" s="47">
        <f>AB17/X17</f>
        <v/>
      </c>
      <c r="AH17" s="47">
        <f>V17/U17</f>
        <v/>
      </c>
      <c r="AJ17" s="9">
        <f>AJ6</f>
        <v/>
      </c>
      <c r="AK17">
        <f>AK6</f>
        <v/>
      </c>
      <c r="AL17" s="10">
        <f>AL6</f>
        <v/>
      </c>
    </row>
    <row r="18">
      <c r="T18" s="42" t="n"/>
      <c r="U18" s="55" t="n"/>
      <c r="V18" s="55" t="n"/>
      <c r="W18" s="55" t="n"/>
      <c r="X18" s="55" t="n"/>
      <c r="Y18" s="55" t="n"/>
      <c r="Z18" s="55" t="n"/>
      <c r="AA18" s="55" t="n"/>
      <c r="AB18" s="55" t="n"/>
      <c r="AC18" s="55" t="n"/>
      <c r="AD18" s="47" t="n"/>
      <c r="AE18" s="47" t="n"/>
      <c r="AF18" s="47" t="n"/>
      <c r="AG18" s="47" t="n"/>
      <c r="AH18" s="53" t="n"/>
      <c r="AJ18" s="9">
        <f>AJ7</f>
        <v/>
      </c>
      <c r="AK18">
        <f>AK7</f>
        <v/>
      </c>
      <c r="AL18" s="10">
        <f>AL7</f>
        <v/>
      </c>
    </row>
    <row r="19">
      <c r="T19" s="42" t="n"/>
      <c r="U19" s="55" t="n"/>
      <c r="V19" s="55" t="n"/>
      <c r="W19" s="55" t="n"/>
      <c r="X19" s="55" t="n"/>
      <c r="Y19" s="55" t="n"/>
      <c r="Z19" s="55" t="n"/>
      <c r="AA19" s="55" t="n"/>
      <c r="AB19" s="55" t="n"/>
      <c r="AC19" s="55" t="n"/>
      <c r="AD19" s="47" t="n"/>
      <c r="AE19" s="47" t="n"/>
      <c r="AF19" s="47" t="n"/>
      <c r="AG19" s="106" t="n"/>
      <c r="AH19" s="53" t="n"/>
      <c r="AJ19" s="2" t="inlineStr">
        <is>
          <t>PRO 7/27-8/10</t>
        </is>
      </c>
      <c r="AK19" t="n">
        <v>9</v>
      </c>
      <c r="AL19" t="n">
        <v>45</v>
      </c>
    </row>
    <row r="20">
      <c r="T20" s="42" t="n"/>
      <c r="U20" s="55" t="n"/>
      <c r="V20" s="55" t="n"/>
      <c r="W20" s="55" t="n"/>
      <c r="X20" s="55" t="n"/>
      <c r="Y20" s="55" t="n"/>
      <c r="Z20" s="55" t="n"/>
      <c r="AA20" s="55" t="n"/>
      <c r="AB20" s="55" t="n"/>
      <c r="AC20" s="55" t="n"/>
      <c r="AD20" s="47" t="n"/>
      <c r="AE20" s="47" t="n"/>
      <c r="AF20" s="47" t="n"/>
      <c r="AG20" s="106" t="n"/>
      <c r="AH20" s="53" t="n"/>
    </row>
    <row r="21">
      <c r="T21" s="42" t="n"/>
      <c r="U21" s="55" t="n"/>
      <c r="V21" s="55" t="n"/>
      <c r="W21" s="55" t="n"/>
      <c r="X21" s="55" t="n"/>
      <c r="Y21" s="55" t="n"/>
      <c r="Z21" s="55" t="n"/>
      <c r="AA21" s="55" t="n"/>
      <c r="AB21" s="55" t="n"/>
      <c r="AC21" s="55" t="n"/>
      <c r="AD21" s="47" t="n"/>
      <c r="AE21" s="47" t="n"/>
      <c r="AF21" s="47" t="n"/>
      <c r="AG21" s="106" t="n"/>
      <c r="AH21" s="53" t="n"/>
      <c r="AJ21" s="2" t="inlineStr">
        <is>
          <t>Rework Trend Analysis (V2 vs LT)</t>
        </is>
      </c>
      <c r="AN21" s="2" t="inlineStr">
        <is>
          <t>Carryover Trend Analysis (V2 vs LT)</t>
        </is>
      </c>
    </row>
    <row r="22">
      <c r="T22" s="42" t="n"/>
      <c r="U22" s="55" t="n"/>
      <c r="V22" s="55" t="n"/>
      <c r="W22" s="55" t="n"/>
      <c r="X22" s="55" t="n"/>
      <c r="Y22" s="55" t="n"/>
      <c r="Z22" s="55" t="n"/>
      <c r="AA22" s="55" t="n"/>
      <c r="AB22" s="55" t="n"/>
      <c r="AC22" s="55" t="n"/>
      <c r="AD22" s="47" t="n"/>
      <c r="AE22" s="47" t="n"/>
      <c r="AF22" s="47" t="n"/>
      <c r="AG22" s="106" t="n"/>
      <c r="AH22" s="53"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T23" s="42" t="n"/>
      <c r="U23" s="55" t="n"/>
      <c r="V23" s="55" t="n"/>
      <c r="W23" s="55" t="n"/>
      <c r="X23" s="55" t="n"/>
      <c r="Y23" s="55" t="n"/>
      <c r="Z23" s="55" t="n"/>
      <c r="AA23" s="55" t="n"/>
      <c r="AB23" s="55" t="n"/>
      <c r="AC23" s="55" t="n"/>
      <c r="AD23" s="47" t="n"/>
      <c r="AE23" s="47" t="n"/>
      <c r="AF23" s="47" t="n"/>
      <c r="AG23" s="106" t="n"/>
      <c r="AH23" s="53" t="n"/>
      <c r="AJ23" s="2" t="inlineStr">
        <is>
          <t>DASH 7/28-8/11</t>
        </is>
      </c>
      <c r="AK23" t="n">
        <v>1</v>
      </c>
      <c r="AL23" t="n">
        <v>0.2608695652173913</v>
      </c>
      <c r="AN23" s="2" t="inlineStr">
        <is>
          <t>Grand Total</t>
        </is>
      </c>
    </row>
    <row r="24">
      <c r="T24" s="42" t="n"/>
      <c r="U24" s="55" t="n"/>
      <c r="V24" s="55" t="n"/>
      <c r="W24" s="55" t="n"/>
      <c r="X24" s="55" t="n"/>
      <c r="Y24" s="55" t="n"/>
      <c r="Z24" s="55" t="n"/>
      <c r="AA24" s="55" t="n"/>
      <c r="AB24" s="55" t="n"/>
      <c r="AC24" s="55" t="n"/>
      <c r="AD24" s="47" t="n"/>
      <c r="AE24" s="47" t="n"/>
      <c r="AF24" s="47" t="n"/>
      <c r="AG24" s="106" t="n"/>
      <c r="AH24" s="53" t="n"/>
      <c r="AJ24" s="2" t="inlineStr">
        <is>
          <t>DASH 8/11-8/25</t>
        </is>
      </c>
      <c r="AK24" t="n">
        <v>0.7692307692307693</v>
      </c>
      <c r="AL24" t="n">
        <v>0.7076923076923077</v>
      </c>
    </row>
    <row r="25">
      <c r="T25" s="42" t="n"/>
      <c r="U25" s="55" t="n"/>
      <c r="V25" s="55" t="n"/>
      <c r="W25" s="55" t="n"/>
      <c r="X25" s="55" t="n"/>
      <c r="Y25" s="55" t="n"/>
      <c r="Z25" s="55" t="n"/>
      <c r="AA25" s="55" t="n"/>
      <c r="AB25" s="55" t="n"/>
      <c r="AC25" s="55" t="n"/>
      <c r="AD25" s="47" t="n"/>
      <c r="AE25" s="47" t="n"/>
      <c r="AF25" s="47" t="n"/>
      <c r="AG25" s="106" t="n"/>
      <c r="AH25" s="53" t="n"/>
      <c r="AJ25" s="2" t="inlineStr">
        <is>
          <t>DASH 8/25-9/08</t>
        </is>
      </c>
      <c r="AK25" t="n">
        <v>0.5555555555555556</v>
      </c>
      <c r="AL25" t="n">
        <v>0.1538461538461539</v>
      </c>
    </row>
    <row r="26">
      <c r="T26" s="42" t="n"/>
      <c r="U26" s="55" t="n"/>
      <c r="V26" s="55" t="n"/>
      <c r="W26" s="55" t="n"/>
      <c r="X26" s="55" t="n"/>
      <c r="Y26" s="55" t="n"/>
      <c r="Z26" s="55" t="n"/>
      <c r="AA26" s="55" t="n"/>
      <c r="AB26" s="55" t="n"/>
      <c r="AC26" s="55" t="n"/>
      <c r="AD26" s="47" t="n"/>
      <c r="AE26" s="47" t="n"/>
      <c r="AF26" s="47" t="n"/>
      <c r="AG26" s="106" t="n"/>
      <c r="AH26" s="53" t="n"/>
      <c r="AJ26" s="2" t="inlineStr">
        <is>
          <t>DASH 9/22-10/06</t>
        </is>
      </c>
      <c r="AK26" t="n">
        <v>0.4285714285714285</v>
      </c>
      <c r="AL26" t="n">
        <v>0.07246376811594203</v>
      </c>
    </row>
    <row r="27">
      <c r="T27" s="42" t="n"/>
      <c r="U27" s="55" t="n"/>
      <c r="V27" s="55" t="n"/>
      <c r="W27" s="55" t="n"/>
      <c r="X27" s="55" t="n"/>
      <c r="Y27" s="55" t="n"/>
      <c r="Z27" s="55" t="n"/>
      <c r="AA27" s="55" t="n"/>
      <c r="AB27" s="55" t="n"/>
      <c r="AC27" s="55" t="n"/>
      <c r="AD27" s="47" t="n"/>
      <c r="AE27" s="47" t="n"/>
      <c r="AF27" s="47" t="n"/>
      <c r="AG27" s="106" t="n"/>
      <c r="AH27" s="53" t="n"/>
      <c r="AJ27" s="2" t="inlineStr">
        <is>
          <t>DASH 10/06-10/20</t>
        </is>
      </c>
      <c r="AK27" t="n">
        <v>0.2222222222222222</v>
      </c>
      <c r="AL27" t="n">
        <v>0.07058823529411765</v>
      </c>
    </row>
    <row r="28">
      <c r="T28" s="42" t="n"/>
      <c r="U28" s="55" t="n"/>
      <c r="V28" s="55" t="n"/>
      <c r="W28" s="55" t="n"/>
      <c r="X28" s="55" t="n"/>
      <c r="Y28" s="55" t="n"/>
      <c r="Z28" s="55" t="n"/>
      <c r="AA28" s="55" t="n"/>
      <c r="AB28" s="55" t="n"/>
      <c r="AC28" s="55" t="n"/>
      <c r="AD28" s="47" t="n"/>
      <c r="AE28" s="47" t="n"/>
      <c r="AF28" s="47" t="n"/>
      <c r="AG28" s="106" t="n"/>
      <c r="AH28" s="53" t="n"/>
      <c r="AJ28" s="2" t="inlineStr">
        <is>
          <t>DASH 10/20-11/03</t>
        </is>
      </c>
      <c r="AK28" t="n">
        <v>0.5</v>
      </c>
      <c r="AL28" t="n">
        <v>0.1016949152542373</v>
      </c>
    </row>
    <row r="29">
      <c r="T29" s="42" t="n"/>
      <c r="U29" s="55" t="n"/>
      <c r="V29" s="55" t="n"/>
      <c r="W29" s="55" t="n"/>
      <c r="X29" s="55" t="n"/>
      <c r="Y29" s="55" t="n"/>
      <c r="Z29" s="55" t="n"/>
      <c r="AA29" s="55" t="n"/>
      <c r="AB29" s="55" t="n"/>
      <c r="AC29" s="55" t="n"/>
      <c r="AD29" s="47" t="n"/>
      <c r="AE29" s="47" t="n"/>
      <c r="AF29" s="47" t="n"/>
      <c r="AG29" s="106" t="n"/>
      <c r="AH29" s="53" t="n"/>
      <c r="AJ29" s="2" t="inlineStr">
        <is>
          <t>Grand Total</t>
        </is>
      </c>
      <c r="AK29" t="n">
        <v>3.475579975579975</v>
      </c>
      <c r="AL29" t="n">
        <v>1.36715494542015</v>
      </c>
    </row>
    <row r="30">
      <c r="T30" s="132" t="n"/>
      <c r="U30" s="135" t="n"/>
      <c r="V30" s="135" t="n"/>
      <c r="W30" s="135" t="n"/>
      <c r="X30" s="135" t="n"/>
      <c r="Y30" s="135" t="n"/>
      <c r="Z30" s="135" t="n"/>
      <c r="AA30" s="135" t="n"/>
      <c r="AB30" s="135" t="n"/>
      <c r="AC30" s="55" t="n"/>
      <c r="AD30" s="76" t="n"/>
      <c r="AE30" s="76" t="n"/>
      <c r="AF30" s="76" t="n"/>
      <c r="AG30" s="136" t="n"/>
      <c r="AH30" s="116" t="n"/>
    </row>
    <row r="31">
      <c r="T31" s="42" t="n"/>
      <c r="U31" s="55" t="n"/>
      <c r="V31" s="55" t="n"/>
      <c r="W31" s="55" t="n"/>
      <c r="X31" s="135" t="n"/>
      <c r="Y31" s="55" t="n"/>
      <c r="Z31" s="55" t="n"/>
      <c r="AA31" s="55" t="n"/>
      <c r="AB31" s="55" t="n"/>
      <c r="AC31" s="55" t="n"/>
      <c r="AD31" s="76" t="n"/>
      <c r="AE31" s="76" t="n"/>
      <c r="AF31" s="76" t="n"/>
      <c r="AG31" s="136" t="n"/>
      <c r="AH31" s="116" t="n"/>
    </row>
    <row r="32">
      <c r="T32" s="42" t="n"/>
      <c r="U32" s="55" t="n"/>
      <c r="V32" s="55" t="n"/>
      <c r="W32" s="55" t="n"/>
      <c r="X32" s="135" t="n"/>
      <c r="Y32" s="55" t="n"/>
      <c r="Z32" s="55" t="n"/>
      <c r="AA32" s="55" t="n"/>
      <c r="AB32" s="55" t="n"/>
      <c r="AC32" s="55" t="n"/>
      <c r="AD32" s="76" t="n"/>
      <c r="AE32" s="76" t="n"/>
      <c r="AF32" s="76" t="n"/>
      <c r="AG32" s="136" t="n"/>
      <c r="AH32" s="116" t="n"/>
      <c r="AJ32" s="14" t="inlineStr">
        <is>
          <t>Sprint</t>
        </is>
      </c>
      <c r="AK32" s="15" t="inlineStr">
        <is>
          <t>V2</t>
        </is>
      </c>
      <c r="AL32" s="16" t="inlineStr">
        <is>
          <t>LT</t>
        </is>
      </c>
      <c r="AN32" s="14" t="inlineStr">
        <is>
          <t>Sprint</t>
        </is>
      </c>
      <c r="AO32" s="15" t="inlineStr">
        <is>
          <t>V2</t>
        </is>
      </c>
      <c r="AP32" s="16" t="inlineStr">
        <is>
          <t>LT</t>
        </is>
      </c>
    </row>
    <row r="33">
      <c r="T33" s="42" t="n"/>
      <c r="U33" s="55" t="n"/>
      <c r="V33" s="55" t="n"/>
      <c r="W33" s="55" t="n"/>
      <c r="X33" s="135" t="n"/>
      <c r="Y33" s="55" t="n"/>
      <c r="Z33" s="55" t="n"/>
      <c r="AA33" s="55" t="n"/>
      <c r="AB33" s="55" t="n"/>
      <c r="AC33" s="55" t="n"/>
      <c r="AD33" s="76" t="n"/>
      <c r="AE33" s="76" t="n"/>
      <c r="AF33" s="76" t="n"/>
      <c r="AG33" s="136" t="n"/>
      <c r="AH33" s="116" t="n"/>
      <c r="AJ33" s="17">
        <f>AJ23</f>
        <v/>
      </c>
      <c r="AK33" s="23">
        <f>AK23</f>
        <v/>
      </c>
      <c r="AL33" s="24">
        <f>AL23</f>
        <v/>
      </c>
      <c r="AN33" s="17">
        <f>AN23</f>
        <v/>
      </c>
      <c r="AO33" s="23">
        <f>AO23</f>
        <v/>
      </c>
      <c r="AP33" s="24">
        <f>AP23</f>
        <v/>
      </c>
    </row>
    <row r="34">
      <c r="T34" s="42" t="n"/>
      <c r="U34" s="55" t="n"/>
      <c r="V34" s="55" t="n"/>
      <c r="W34" s="55" t="n"/>
      <c r="X34" s="135" t="n"/>
      <c r="Y34" s="55" t="n"/>
      <c r="Z34" s="55" t="n"/>
      <c r="AA34" s="55" t="n"/>
      <c r="AB34" s="55" t="n"/>
      <c r="AC34" s="55" t="n"/>
      <c r="AD34" s="76" t="n"/>
      <c r="AE34" s="76" t="n"/>
      <c r="AF34" s="76" t="n"/>
      <c r="AG34" s="136" t="n"/>
      <c r="AH34" s="116" t="n"/>
      <c r="AJ34" s="17">
        <f>AJ24</f>
        <v/>
      </c>
      <c r="AK34" s="23">
        <f>AK24</f>
        <v/>
      </c>
      <c r="AL34" s="24">
        <f>AL24</f>
        <v/>
      </c>
      <c r="AN34" s="17">
        <f>AN24</f>
        <v/>
      </c>
      <c r="AO34" s="23">
        <f>AO24</f>
        <v/>
      </c>
      <c r="AP34" s="24">
        <f>AP24</f>
        <v/>
      </c>
    </row>
    <row r="35">
      <c r="T35" s="42" t="n"/>
      <c r="U35" s="55" t="n"/>
      <c r="V35" s="55" t="n"/>
      <c r="W35" s="55" t="n"/>
      <c r="X35" s="135" t="n"/>
      <c r="Y35" s="55" t="n"/>
      <c r="Z35" s="55" t="n"/>
      <c r="AA35" s="55" t="n"/>
      <c r="AB35" s="55" t="n"/>
      <c r="AC35" s="55" t="n"/>
      <c r="AD35" s="76" t="n"/>
      <c r="AE35" s="76" t="n"/>
      <c r="AF35" s="76" t="n"/>
      <c r="AG35" s="136" t="n"/>
      <c r="AH35" s="116" t="n"/>
      <c r="AJ35" s="17">
        <f>AJ25</f>
        <v/>
      </c>
      <c r="AK35" s="23">
        <f>AK25</f>
        <v/>
      </c>
      <c r="AL35" s="24">
        <f>AL25</f>
        <v/>
      </c>
      <c r="AN35" s="17">
        <f>AN25</f>
        <v/>
      </c>
      <c r="AO35" s="23">
        <f>AO25</f>
        <v/>
      </c>
      <c r="AP35" s="24">
        <f>AP25</f>
        <v/>
      </c>
    </row>
    <row r="36">
      <c r="T36" s="42" t="n"/>
      <c r="U36" s="55" t="n"/>
      <c r="V36" s="55" t="n"/>
      <c r="W36" s="55" t="n"/>
      <c r="X36" s="55" t="n"/>
      <c r="Y36" s="55" t="n"/>
      <c r="Z36" s="55" t="n"/>
      <c r="AA36" s="55" t="n"/>
      <c r="AB36" s="55" t="n"/>
      <c r="AC36" s="55" t="n"/>
      <c r="AD36" s="55" t="n"/>
      <c r="AE36" s="55" t="n"/>
      <c r="AF36" s="55" t="n"/>
      <c r="AG36" s="55" t="n"/>
      <c r="AH36" s="37" t="n"/>
      <c r="AJ36" s="17">
        <f>AJ26</f>
        <v/>
      </c>
      <c r="AK36" s="23">
        <f>AK26</f>
        <v/>
      </c>
      <c r="AL36" s="24">
        <f>AL26</f>
        <v/>
      </c>
      <c r="AN36" s="17">
        <f>AN26</f>
        <v/>
      </c>
      <c r="AO36" s="23">
        <f>AO26</f>
        <v/>
      </c>
      <c r="AP36" s="24">
        <f>AP26</f>
        <v/>
      </c>
    </row>
    <row r="37">
      <c r="AJ37" s="17">
        <f>AJ27</f>
        <v/>
      </c>
      <c r="AK37" s="23">
        <f>AK27</f>
        <v/>
      </c>
      <c r="AL37" s="24">
        <f>AL27</f>
        <v/>
      </c>
      <c r="AN37" s="17">
        <f>AN27</f>
        <v/>
      </c>
      <c r="AO37" s="23">
        <f>AO27</f>
        <v/>
      </c>
      <c r="AP37" s="24">
        <f>AP27</f>
        <v/>
      </c>
    </row>
    <row r="38">
      <c r="AJ38" s="17">
        <f>AJ28</f>
        <v/>
      </c>
      <c r="AK38" s="23">
        <f>AK28</f>
        <v/>
      </c>
      <c r="AL38" s="24">
        <f>AL28</f>
        <v/>
      </c>
      <c r="AN38" s="17">
        <f>AN28</f>
        <v/>
      </c>
      <c r="AO38" s="23">
        <f>AO28</f>
        <v/>
      </c>
      <c r="AP38" s="24">
        <f>AP28</f>
        <v/>
      </c>
    </row>
    <row r="39">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Grand Total</t>
        </is>
      </c>
    </row>
    <row r="52">
      <c r="AJ52" s="36" t="inlineStr">
        <is>
          <t>Sprint</t>
        </is>
      </c>
      <c r="AK52" s="36" t="inlineStr">
        <is>
          <t>Sum of Planned Vs Completed Ratio</t>
        </is>
      </c>
    </row>
    <row r="53">
      <c r="AJ53" s="83">
        <f>AJ43</f>
        <v/>
      </c>
      <c r="AK53" s="32">
        <f>AK43</f>
        <v/>
      </c>
    </row>
    <row r="54">
      <c r="AJ54" s="83">
        <f>AJ44</f>
        <v/>
      </c>
      <c r="AK54" s="32">
        <f>AK44</f>
        <v/>
      </c>
    </row>
    <row r="55">
      <c r="AJ55" s="83">
        <f>AJ45</f>
        <v/>
      </c>
      <c r="AK55" s="32">
        <f>AK45</f>
        <v/>
      </c>
    </row>
    <row r="56">
      <c r="AJ56" s="83">
        <f>AJ46</f>
        <v/>
      </c>
      <c r="AK56" s="32">
        <f>AK46</f>
        <v/>
      </c>
    </row>
    <row r="57">
      <c r="AJ57" s="83">
        <f>AJ47</f>
        <v/>
      </c>
      <c r="AK57" s="32">
        <f>AK47</f>
        <v/>
      </c>
    </row>
    <row r="58">
      <c r="AJ58" s="83">
        <f>AJ48</f>
        <v/>
      </c>
      <c r="AK58" s="32">
        <f>AK48</f>
        <v/>
      </c>
    </row>
    <row r="59">
      <c r="AJ59" s="83">
        <f>AJ49</f>
        <v/>
      </c>
      <c r="AK59" s="32">
        <f>AK49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O68"/>
  <sheetViews>
    <sheetView topLeftCell="S1" zoomScale="85" zoomScaleNormal="85" workbookViewId="0">
      <pane ySplit="1" topLeftCell="A2" activePane="bottomLeft" state="frozen"/>
      <selection pane="bottomLeft" activeCell="T1" sqref="T1"/>
      <selection activeCell="S1" sqref="S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0.140625" bestFit="1" customWidth="1" min="16" max="16"/>
    <col width="10.140625" customWidth="1" min="17" max="19"/>
    <col width="15.28515625" bestFit="1" customWidth="1" min="21" max="21"/>
    <col width="9.85546875" bestFit="1" customWidth="1" min="22" max="22"/>
    <col width="9.42578125" bestFit="1" customWidth="1" min="23" max="23"/>
    <col width="15.28515625" bestFit="1" customWidth="1" min="25" max="25"/>
    <col width="14.42578125" bestFit="1" customWidth="1" min="26" max="26"/>
    <col width="17" bestFit="1" customWidth="1" min="27" max="27"/>
    <col width="17.140625" bestFit="1" customWidth="1" min="35" max="35"/>
    <col width="28.5703125" bestFit="1" customWidth="1" min="36" max="36"/>
    <col width="28.140625" bestFit="1" customWidth="1" min="37" max="37"/>
    <col width="17.140625" bestFit="1" customWidth="1" min="39" max="39"/>
    <col width="30.5703125" bestFit="1" customWidth="1" min="40" max="40"/>
    <col width="30.28515625" bestFit="1" customWidth="1" min="41" max="41"/>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59" t="inlineStr">
        <is>
          <t>Old Dates</t>
        </is>
      </c>
      <c r="Q1" s="19" t="n"/>
      <c r="R1" s="19" t="n"/>
      <c r="S1" s="19" t="n"/>
      <c r="AI1" s="4" t="inlineStr">
        <is>
          <t>Row Labels</t>
        </is>
      </c>
      <c r="AJ1" t="inlineStr">
        <is>
          <t>Sum of V2</t>
        </is>
      </c>
      <c r="AK1" t="inlineStr">
        <is>
          <t>Sum of LT</t>
        </is>
      </c>
      <c r="AM1" s="4" t="inlineStr">
        <is>
          <t>Row Labels</t>
        </is>
      </c>
      <c r="AN1" t="inlineStr">
        <is>
          <t>Sum of Rework</t>
        </is>
      </c>
      <c r="AO1" t="inlineStr">
        <is>
          <t>Sum of QA Passed</t>
        </is>
      </c>
    </row>
    <row r="2">
      <c r="A2" s="37" t="inlineStr">
        <is>
          <t>LCW: 5/4 - 5/11</t>
        </is>
      </c>
      <c r="B2" s="37">
        <f>(C2+H2+I2)</f>
        <v/>
      </c>
      <c r="C2" s="37" t="n">
        <v>17</v>
      </c>
      <c r="D2" s="37" t="n">
        <v>15</v>
      </c>
      <c r="E2" s="37" t="n">
        <v>2</v>
      </c>
      <c r="F2" s="37" t="n">
        <v>0</v>
      </c>
      <c r="G2" s="37" t="n">
        <v>0</v>
      </c>
      <c r="H2" s="37" t="n">
        <v>0</v>
      </c>
      <c r="I2" s="37" t="n">
        <v>0</v>
      </c>
      <c r="J2" s="37">
        <f>D2-F2</f>
        <v/>
      </c>
      <c r="K2" s="38">
        <f>F2/D2</f>
        <v/>
      </c>
      <c r="L2" s="38">
        <f>G2/E2</f>
        <v/>
      </c>
      <c r="M2" s="38">
        <f>H2/D2</f>
        <v/>
      </c>
      <c r="N2" s="38">
        <f>I2/E2</f>
        <v/>
      </c>
      <c r="O2" s="42" t="n"/>
      <c r="P2" s="58" t="n">
        <v>43955</v>
      </c>
      <c r="Q2" s="21" t="n"/>
      <c r="R2" s="21" t="n"/>
      <c r="S2" s="21" t="n"/>
      <c r="AI2" s="2" t="inlineStr">
        <is>
          <t>LCW: 6/29 - 7/06</t>
        </is>
      </c>
      <c r="AJ2" t="n">
        <v>11</v>
      </c>
      <c r="AK2" t="n">
        <v>0</v>
      </c>
      <c r="AM2" s="2" t="inlineStr">
        <is>
          <t>LCW: 6/29 - 7/06</t>
        </is>
      </c>
      <c r="AN2" t="n">
        <v>0</v>
      </c>
      <c r="AO2" t="n">
        <v>11</v>
      </c>
    </row>
    <row r="3">
      <c r="A3" s="37" t="inlineStr">
        <is>
          <t>LCW: 5/11 - 5/18</t>
        </is>
      </c>
      <c r="B3" s="37">
        <f>(C3+H3+I3)</f>
        <v/>
      </c>
      <c r="C3" s="37" t="n">
        <v>23</v>
      </c>
      <c r="D3" s="37" t="n">
        <v>16</v>
      </c>
      <c r="E3" s="37" t="n">
        <v>7</v>
      </c>
      <c r="F3" s="37" t="n">
        <v>1</v>
      </c>
      <c r="G3" s="37" t="n">
        <v>1</v>
      </c>
      <c r="H3" s="37" t="n">
        <v>0</v>
      </c>
      <c r="I3" s="37" t="n">
        <v>0</v>
      </c>
      <c r="J3" s="37">
        <f>D3-F3</f>
        <v/>
      </c>
      <c r="K3" s="38">
        <f>F3/D3</f>
        <v/>
      </c>
      <c r="L3" s="38">
        <f>G3/E3</f>
        <v/>
      </c>
      <c r="M3" s="38">
        <f>H3/D3</f>
        <v/>
      </c>
      <c r="N3" s="38">
        <f>I3/E3</f>
        <v/>
      </c>
      <c r="O3" s="42" t="n"/>
      <c r="P3" s="58" t="n">
        <v>43962</v>
      </c>
      <c r="Q3" s="21" t="n"/>
      <c r="R3" s="21" t="n"/>
      <c r="S3" s="21" t="n"/>
      <c r="AI3" s="2" t="inlineStr">
        <is>
          <t xml:space="preserve"> </t>
        </is>
      </c>
      <c r="AJ3" t="n">
        <v>12</v>
      </c>
      <c r="AK3" t="n">
        <v>0</v>
      </c>
      <c r="AM3" s="2" t="inlineStr">
        <is>
          <t>LCW: 7/06 - 7/13</t>
        </is>
      </c>
      <c r="AN3" t="n">
        <v>0</v>
      </c>
      <c r="AO3" t="n">
        <v>12</v>
      </c>
    </row>
    <row r="4">
      <c r="A4" s="37" t="inlineStr">
        <is>
          <t>LCW: 5/18 - 5/25</t>
        </is>
      </c>
      <c r="B4" s="37">
        <f>(C4+H4+I4)</f>
        <v/>
      </c>
      <c r="C4" s="37" t="n">
        <v>18</v>
      </c>
      <c r="D4" s="37" t="n">
        <v>9</v>
      </c>
      <c r="E4" s="37" t="n">
        <v>7</v>
      </c>
      <c r="F4" s="37" t="n">
        <v>1</v>
      </c>
      <c r="G4" s="37" t="n">
        <v>0</v>
      </c>
      <c r="H4" s="37" t="n">
        <v>0</v>
      </c>
      <c r="I4" s="37" t="n">
        <v>0</v>
      </c>
      <c r="J4" s="37">
        <f>D4-F4</f>
        <v/>
      </c>
      <c r="K4" s="38">
        <f>F4/D4</f>
        <v/>
      </c>
      <c r="L4" s="38">
        <f>G4/E4</f>
        <v/>
      </c>
      <c r="M4" s="38">
        <f>H4/D4</f>
        <v/>
      </c>
      <c r="N4" s="38">
        <f>I4/E4</f>
        <v/>
      </c>
      <c r="O4" s="42" t="n"/>
      <c r="P4" s="58" t="n">
        <v>43969</v>
      </c>
      <c r="Q4" s="21" t="n"/>
      <c r="R4" s="21" t="n"/>
      <c r="S4" s="21" t="n"/>
      <c r="AI4" s="2" t="inlineStr">
        <is>
          <t>LCW: 7/13 - 7/20</t>
        </is>
      </c>
      <c r="AJ4" t="n">
        <v>10</v>
      </c>
      <c r="AK4" t="n">
        <v>0</v>
      </c>
      <c r="AM4" s="2" t="inlineStr">
        <is>
          <t>LCW: 7/13 - 7/20</t>
        </is>
      </c>
      <c r="AN4" t="n">
        <v>0</v>
      </c>
      <c r="AO4" t="n">
        <v>10</v>
      </c>
    </row>
    <row r="5">
      <c r="A5" s="37" t="inlineStr">
        <is>
          <t>LCW: 5/25 - 6/01</t>
        </is>
      </c>
      <c r="B5" s="37">
        <f>(C5+H5+I5)</f>
        <v/>
      </c>
      <c r="C5" s="37" t="n">
        <v>12</v>
      </c>
      <c r="D5" s="37" t="n">
        <v>10</v>
      </c>
      <c r="E5" s="37" t="n">
        <v>2</v>
      </c>
      <c r="F5" s="37" t="n">
        <v>0</v>
      </c>
      <c r="G5" s="37" t="n">
        <v>0</v>
      </c>
      <c r="H5" s="37" t="n">
        <v>0</v>
      </c>
      <c r="I5" s="37" t="n">
        <v>0</v>
      </c>
      <c r="J5" s="37">
        <f>D5-F5</f>
        <v/>
      </c>
      <c r="K5" s="38">
        <f>F5/D5</f>
        <v/>
      </c>
      <c r="L5" s="38">
        <f>G5/E5</f>
        <v/>
      </c>
      <c r="M5" s="38">
        <f>H5/D5</f>
        <v/>
      </c>
      <c r="N5" s="38">
        <f>I5/E5</f>
        <v/>
      </c>
      <c r="O5" s="42" t="n"/>
      <c r="P5" s="58" t="n">
        <v>43976</v>
      </c>
      <c r="Q5" s="21" t="n"/>
      <c r="R5" s="21" t="n"/>
      <c r="S5" s="21" t="n"/>
      <c r="AI5" s="2" t="inlineStr">
        <is>
          <t>LCW: 7/20 - 7/27</t>
        </is>
      </c>
      <c r="AJ5" t="n">
        <v>15</v>
      </c>
      <c r="AK5" t="n">
        <v>0</v>
      </c>
      <c r="AM5" s="2" t="inlineStr">
        <is>
          <t>LCW: 7/20 - 7/27</t>
        </is>
      </c>
      <c r="AN5" t="n">
        <v>0</v>
      </c>
      <c r="AO5" t="n">
        <v>15</v>
      </c>
    </row>
    <row r="6">
      <c r="A6" s="37" t="inlineStr">
        <is>
          <t>LCW: 6/01 - 6/08</t>
        </is>
      </c>
      <c r="B6" s="37">
        <f>(C6+H6+I6)</f>
        <v/>
      </c>
      <c r="C6" s="37" t="n">
        <v>20</v>
      </c>
      <c r="D6" s="37" t="n">
        <v>18</v>
      </c>
      <c r="E6" s="37" t="n">
        <v>2</v>
      </c>
      <c r="F6" s="37" t="n">
        <v>0</v>
      </c>
      <c r="G6" s="37" t="n">
        <v>1</v>
      </c>
      <c r="H6" s="37" t="n">
        <v>0</v>
      </c>
      <c r="I6" s="37" t="n">
        <v>0</v>
      </c>
      <c r="J6" s="37">
        <f>D6-F6</f>
        <v/>
      </c>
      <c r="K6" s="38">
        <f>F6/D6</f>
        <v/>
      </c>
      <c r="L6" s="38">
        <f>G6/E6</f>
        <v/>
      </c>
      <c r="M6" s="38">
        <f>H6/D6</f>
        <v/>
      </c>
      <c r="N6" s="38">
        <f>I6/E6</f>
        <v/>
      </c>
      <c r="O6" s="42" t="n"/>
      <c r="P6" s="58" t="n">
        <v>43983</v>
      </c>
      <c r="Q6" s="21" t="n"/>
      <c r="R6" s="21" t="n"/>
      <c r="S6" s="21" t="n"/>
      <c r="AI6" s="2" t="inlineStr">
        <is>
          <t>LCW: 7/27 - 8/03</t>
        </is>
      </c>
      <c r="AJ6" t="n">
        <v>11</v>
      </c>
      <c r="AK6" t="n">
        <v>0</v>
      </c>
      <c r="AM6" s="2" t="inlineStr">
        <is>
          <t>LCW: 7/27 - 8/03</t>
        </is>
      </c>
      <c r="AN6" t="n">
        <v>0</v>
      </c>
      <c r="AO6" t="n">
        <v>11</v>
      </c>
    </row>
    <row r="7">
      <c r="A7" s="37" t="inlineStr">
        <is>
          <t>LCW: 6/08 - 6/15</t>
        </is>
      </c>
      <c r="B7" s="37">
        <f>(C7+H7+I7)</f>
        <v/>
      </c>
      <c r="C7" s="37" t="n">
        <v>16</v>
      </c>
      <c r="D7" s="37" t="n">
        <v>16</v>
      </c>
      <c r="E7" s="37" t="n">
        <v>0</v>
      </c>
      <c r="F7" s="37" t="n">
        <v>1</v>
      </c>
      <c r="G7" s="37" t="n">
        <v>1</v>
      </c>
      <c r="H7" s="37" t="n">
        <v>0</v>
      </c>
      <c r="I7" s="37" t="n">
        <v>0</v>
      </c>
      <c r="J7" s="37">
        <f>D7-F7</f>
        <v/>
      </c>
      <c r="K7" s="38">
        <f>F7/D7</f>
        <v/>
      </c>
      <c r="L7" s="38">
        <f>G7/E7</f>
        <v/>
      </c>
      <c r="M7" s="38">
        <f>H7/D7</f>
        <v/>
      </c>
      <c r="N7" s="38" t="n">
        <v>0</v>
      </c>
      <c r="O7" s="42" t="n"/>
      <c r="P7" s="58" t="n">
        <v>43990</v>
      </c>
      <c r="Q7" s="21" t="n"/>
      <c r="R7" s="21" t="n"/>
      <c r="S7" s="21" t="n"/>
      <c r="AI7" s="2" t="inlineStr">
        <is>
          <t>LCW: 8/03 - 8/10</t>
        </is>
      </c>
      <c r="AJ7" t="n">
        <v>8</v>
      </c>
      <c r="AK7" t="n">
        <v>0</v>
      </c>
      <c r="AM7" s="2" t="inlineStr">
        <is>
          <t>LCW: 8/03 - 8/10</t>
        </is>
      </c>
      <c r="AN7" t="n">
        <v>0</v>
      </c>
      <c r="AO7" t="n">
        <v>8</v>
      </c>
    </row>
    <row r="8">
      <c r="A8" s="37" t="inlineStr">
        <is>
          <t>LCW: 6/15 - 6/22</t>
        </is>
      </c>
      <c r="B8" s="37">
        <f>(C8+H8+I8)</f>
        <v/>
      </c>
      <c r="C8" s="37" t="n">
        <v>11</v>
      </c>
      <c r="D8" s="37" t="n">
        <v>9</v>
      </c>
      <c r="E8" s="37" t="n">
        <v>0</v>
      </c>
      <c r="F8" s="37" t="n">
        <v>1</v>
      </c>
      <c r="G8" s="37" t="n">
        <v>0</v>
      </c>
      <c r="H8" s="37" t="n">
        <v>0</v>
      </c>
      <c r="I8" s="37" t="n">
        <v>0</v>
      </c>
      <c r="J8" s="37">
        <f>D8-F8</f>
        <v/>
      </c>
      <c r="K8" s="38">
        <f>F8/D8</f>
        <v/>
      </c>
      <c r="L8" s="38" t="n">
        <v>0</v>
      </c>
      <c r="M8" s="38">
        <f>H8/D8</f>
        <v/>
      </c>
      <c r="N8" s="38" t="n">
        <v>0</v>
      </c>
      <c r="O8" s="42" t="n"/>
      <c r="P8" s="58" t="n">
        <v>43997</v>
      </c>
      <c r="Q8" s="21" t="n"/>
      <c r="R8" s="21" t="n"/>
      <c r="S8" s="21" t="n"/>
      <c r="AI8" s="2" t="inlineStr">
        <is>
          <t>LCW: 8/10 - 8/17</t>
        </is>
      </c>
      <c r="AJ8" t="n">
        <v>13</v>
      </c>
      <c r="AK8" t="n">
        <v>0</v>
      </c>
      <c r="AM8" s="2" t="inlineStr">
        <is>
          <t>LCW: 8/10 - 8/17</t>
        </is>
      </c>
      <c r="AN8" t="n">
        <v>0</v>
      </c>
      <c r="AO8" t="n">
        <v>13</v>
      </c>
    </row>
    <row r="9">
      <c r="A9" s="37" t="inlineStr">
        <is>
          <t>LCW: 6/22 - 6/29</t>
        </is>
      </c>
      <c r="B9" s="37">
        <f>(C9+H9+I9)</f>
        <v/>
      </c>
      <c r="C9" s="37" t="n">
        <v>20</v>
      </c>
      <c r="D9" s="37" t="n">
        <v>20</v>
      </c>
      <c r="E9" s="37" t="n">
        <v>0</v>
      </c>
      <c r="F9" s="37" t="n">
        <v>0</v>
      </c>
      <c r="G9" s="37" t="n">
        <v>0</v>
      </c>
      <c r="H9" s="37" t="n">
        <v>0</v>
      </c>
      <c r="I9" s="37" t="n">
        <v>0</v>
      </c>
      <c r="J9" s="37">
        <f>D9-F9</f>
        <v/>
      </c>
      <c r="K9" s="38">
        <f>F9/D9</f>
        <v/>
      </c>
      <c r="L9" s="38" t="n">
        <v>0</v>
      </c>
      <c r="M9" s="38">
        <f>H9/D9</f>
        <v/>
      </c>
      <c r="N9" s="38" t="n">
        <v>0</v>
      </c>
      <c r="O9" s="42" t="n"/>
      <c r="P9" s="58" t="n">
        <v>44004</v>
      </c>
      <c r="Q9" s="21" t="n"/>
      <c r="R9" s="21" t="n"/>
      <c r="S9" s="21" t="n"/>
      <c r="AI9" s="2" t="inlineStr">
        <is>
          <t>LCW: 8/17 - 8/24</t>
        </is>
      </c>
      <c r="AJ9" t="n">
        <v>21</v>
      </c>
      <c r="AK9" t="n">
        <v>0</v>
      </c>
      <c r="AM9" s="2" t="inlineStr">
        <is>
          <t>LCW: 8/17 - 8/24</t>
        </is>
      </c>
      <c r="AN9" t="n">
        <v>0</v>
      </c>
      <c r="AO9" t="n">
        <v>21</v>
      </c>
    </row>
    <row r="10">
      <c r="A10" s="37" t="inlineStr">
        <is>
          <t>LCW: 6/29 - 7/06</t>
        </is>
      </c>
      <c r="B10" s="37">
        <f>(C10+H10+I10)</f>
        <v/>
      </c>
      <c r="C10" s="37" t="n">
        <v>11</v>
      </c>
      <c r="D10" s="37" t="n">
        <v>11</v>
      </c>
      <c r="E10" s="37" t="n">
        <v>0</v>
      </c>
      <c r="F10" s="37" t="n">
        <v>0</v>
      </c>
      <c r="G10" s="37" t="n">
        <v>0</v>
      </c>
      <c r="H10" s="37" t="n">
        <v>0</v>
      </c>
      <c r="I10" s="37" t="n">
        <v>0</v>
      </c>
      <c r="J10" s="37">
        <f>D10-F10</f>
        <v/>
      </c>
      <c r="K10" s="38">
        <f>F10/D10</f>
        <v/>
      </c>
      <c r="L10" s="38" t="n">
        <v>0</v>
      </c>
      <c r="M10" s="38">
        <f>H10/D10</f>
        <v/>
      </c>
      <c r="N10" s="38" t="n">
        <v>0</v>
      </c>
      <c r="O10" s="42" t="n"/>
      <c r="P10" s="58" t="n">
        <v>44011</v>
      </c>
      <c r="Q10" s="21" t="n"/>
      <c r="R10" s="21" t="n"/>
      <c r="S10" s="21" t="n"/>
      <c r="AI10" s="2" t="inlineStr">
        <is>
          <t>LCW: 8/24 - 8/31</t>
        </is>
      </c>
      <c r="AJ10" t="n">
        <v>10</v>
      </c>
      <c r="AK10" t="n">
        <v>3</v>
      </c>
      <c r="AM10" s="2" t="inlineStr">
        <is>
          <t>LCW: 8/24 - 8/31</t>
        </is>
      </c>
      <c r="AN10" t="n">
        <v>5</v>
      </c>
      <c r="AO10" t="n">
        <v>5</v>
      </c>
    </row>
    <row r="11">
      <c r="A11" s="37" t="inlineStr">
        <is>
          <t>LCW: 7/06 - 7/13</t>
        </is>
      </c>
      <c r="B11" s="37">
        <f>(C11+H11+I11)</f>
        <v/>
      </c>
      <c r="C11" s="37" t="n">
        <v>12</v>
      </c>
      <c r="D11" s="37" t="n">
        <v>12</v>
      </c>
      <c r="E11" s="37" t="n">
        <v>0</v>
      </c>
      <c r="F11" s="37" t="n">
        <v>0</v>
      </c>
      <c r="G11" s="37" t="n">
        <v>0</v>
      </c>
      <c r="H11" s="37" t="n">
        <v>0</v>
      </c>
      <c r="I11" s="37" t="n">
        <v>0</v>
      </c>
      <c r="J11" s="37">
        <f>D11-F11</f>
        <v/>
      </c>
      <c r="K11" s="38">
        <f>F11/D11</f>
        <v/>
      </c>
      <c r="L11" s="38" t="n">
        <v>0</v>
      </c>
      <c r="M11" s="38">
        <f>H11/D11</f>
        <v/>
      </c>
      <c r="N11" s="38" t="n">
        <v>0</v>
      </c>
      <c r="O11" s="42" t="n"/>
      <c r="P11" s="58" t="n">
        <v>44018</v>
      </c>
      <c r="Q11" s="21" t="n"/>
      <c r="R11" s="21" t="n"/>
      <c r="S11" s="21" t="n"/>
      <c r="AI11" s="2" t="inlineStr">
        <is>
          <t>LCW: 9/07 - 9/14</t>
        </is>
      </c>
      <c r="AJ11" t="n">
        <v>10</v>
      </c>
      <c r="AK11" t="n">
        <v>1</v>
      </c>
      <c r="AM11" s="2" t="inlineStr">
        <is>
          <t>LCW: 9/07 - 9/14</t>
        </is>
      </c>
      <c r="AN11" t="n">
        <v>0</v>
      </c>
      <c r="AO11" t="n">
        <v>10</v>
      </c>
    </row>
    <row r="12">
      <c r="A12" s="37" t="inlineStr">
        <is>
          <t>LCW: 7/13 - 7/20</t>
        </is>
      </c>
      <c r="B12" s="37">
        <f>(C12+H12+I12)</f>
        <v/>
      </c>
      <c r="C12" s="37" t="n">
        <v>10</v>
      </c>
      <c r="D12" s="37" t="n">
        <v>10</v>
      </c>
      <c r="E12" s="37" t="n">
        <v>0</v>
      </c>
      <c r="F12" s="37" t="n">
        <v>0</v>
      </c>
      <c r="G12" s="37" t="n">
        <v>3</v>
      </c>
      <c r="H12" s="37" t="n">
        <v>0</v>
      </c>
      <c r="I12" s="37" t="n">
        <v>0</v>
      </c>
      <c r="J12" s="37">
        <f>D12-F12</f>
        <v/>
      </c>
      <c r="K12" s="38">
        <f>F12/D12</f>
        <v/>
      </c>
      <c r="L12" s="38" t="n">
        <v>0</v>
      </c>
      <c r="M12" s="38">
        <f>H12/D12</f>
        <v/>
      </c>
      <c r="N12" s="38" t="n">
        <v>0</v>
      </c>
      <c r="O12" s="42" t="n"/>
      <c r="P12" s="58" t="n">
        <v>44025</v>
      </c>
      <c r="Q12" s="21" t="n"/>
      <c r="R12" s="21" t="n"/>
      <c r="S12" s="21" t="n"/>
      <c r="AI12" s="2" t="inlineStr">
        <is>
          <t>LCW: 9/14 - 9/21</t>
        </is>
      </c>
      <c r="AJ12" t="n">
        <v>8</v>
      </c>
      <c r="AK12" t="n">
        <v>0</v>
      </c>
      <c r="AM12" s="2" t="inlineStr">
        <is>
          <t>LCW: 9/14 - 9/21</t>
        </is>
      </c>
      <c r="AN12" t="n">
        <v>3</v>
      </c>
      <c r="AO12" t="n">
        <v>5</v>
      </c>
    </row>
    <row r="13">
      <c r="A13" s="37" t="inlineStr">
        <is>
          <t>LCW: 7/20 - 7/27</t>
        </is>
      </c>
      <c r="B13" s="37">
        <f>(C13+H13+I13)</f>
        <v/>
      </c>
      <c r="C13" s="37" t="n">
        <v>15</v>
      </c>
      <c r="D13" s="37" t="n">
        <v>15</v>
      </c>
      <c r="E13" s="37" t="n">
        <v>0</v>
      </c>
      <c r="F13" s="37" t="n">
        <v>0</v>
      </c>
      <c r="G13" s="37" t="n">
        <v>0</v>
      </c>
      <c r="H13" s="37" t="n">
        <v>0</v>
      </c>
      <c r="I13" s="37" t="n">
        <v>0</v>
      </c>
      <c r="J13" s="37">
        <f>D13-F13</f>
        <v/>
      </c>
      <c r="K13" s="38">
        <f>F13/D13</f>
        <v/>
      </c>
      <c r="L13" s="38" t="n">
        <v>0</v>
      </c>
      <c r="M13" s="38">
        <f>H13/D13</f>
        <v/>
      </c>
      <c r="N13" s="38" t="n">
        <v>0</v>
      </c>
      <c r="O13" s="42" t="n"/>
      <c r="P13" s="58" t="n">
        <v>44032</v>
      </c>
      <c r="Q13" s="21" t="n"/>
      <c r="R13" s="21" t="n"/>
      <c r="S13" s="21" t="n"/>
      <c r="AI13" s="2" t="inlineStr">
        <is>
          <t>LCW: 9/21 - 9/28</t>
        </is>
      </c>
      <c r="AJ13" t="n">
        <v>9</v>
      </c>
      <c r="AK13" t="n">
        <v>0</v>
      </c>
      <c r="AM13" s="2" t="inlineStr">
        <is>
          <t>LCW: 9/21 - 9/28</t>
        </is>
      </c>
      <c r="AN13" t="n">
        <v>3</v>
      </c>
      <c r="AO13" t="n">
        <v>6</v>
      </c>
    </row>
    <row r="14">
      <c r="A14" s="37" t="inlineStr">
        <is>
          <t>LCW: 7/27 - 8/03</t>
        </is>
      </c>
      <c r="B14" s="37">
        <f>(C14+H14+I14)</f>
        <v/>
      </c>
      <c r="C14" s="37" t="n">
        <v>11</v>
      </c>
      <c r="D14" s="37" t="n">
        <v>11</v>
      </c>
      <c r="E14" s="37" t="n">
        <v>0</v>
      </c>
      <c r="F14" s="37" t="n">
        <v>0</v>
      </c>
      <c r="G14" s="37" t="n">
        <v>0</v>
      </c>
      <c r="H14" s="37" t="n">
        <v>0</v>
      </c>
      <c r="I14" s="37" t="n">
        <v>0</v>
      </c>
      <c r="J14" s="37">
        <f>D14-F14</f>
        <v/>
      </c>
      <c r="K14" s="38">
        <f>F14/D14</f>
        <v/>
      </c>
      <c r="L14" s="38" t="n">
        <v>0</v>
      </c>
      <c r="M14" s="38">
        <f>H14/D14</f>
        <v/>
      </c>
      <c r="N14" s="38" t="n">
        <v>0</v>
      </c>
      <c r="O14" s="42" t="n"/>
      <c r="P14" s="58" t="n">
        <v>44039</v>
      </c>
      <c r="Q14" s="21" t="n"/>
      <c r="R14" s="21" t="n"/>
      <c r="S14" s="21" t="n"/>
      <c r="AI14" s="2" t="inlineStr">
        <is>
          <t>LCW: 9/28 - 10/05</t>
        </is>
      </c>
      <c r="AJ14" t="n">
        <v>9</v>
      </c>
      <c r="AK14" t="n">
        <v>0</v>
      </c>
      <c r="AM14" s="2" t="inlineStr">
        <is>
          <t>LCW: 9/28 - 10/05</t>
        </is>
      </c>
      <c r="AN14" t="n">
        <v>0</v>
      </c>
      <c r="AO14" t="n">
        <v>9</v>
      </c>
    </row>
    <row r="15">
      <c r="A15" s="37" t="inlineStr">
        <is>
          <t>LCW: 8/03 - 8/10</t>
        </is>
      </c>
      <c r="B15" s="37">
        <f>(C15+H15+I15)</f>
        <v/>
      </c>
      <c r="C15" s="37" t="n">
        <v>8</v>
      </c>
      <c r="D15" s="37" t="n">
        <v>8</v>
      </c>
      <c r="E15" s="37" t="n">
        <v>0</v>
      </c>
      <c r="F15" s="37" t="n">
        <v>0</v>
      </c>
      <c r="G15" s="37" t="n">
        <v>0</v>
      </c>
      <c r="H15" s="37" t="n">
        <v>0</v>
      </c>
      <c r="I15" s="37" t="n">
        <v>0</v>
      </c>
      <c r="J15" s="37">
        <f>D15-F15</f>
        <v/>
      </c>
      <c r="K15" s="38">
        <f>F15/D15</f>
        <v/>
      </c>
      <c r="L15" s="38" t="n">
        <v>0</v>
      </c>
      <c r="M15" s="38">
        <f>H15/D15</f>
        <v/>
      </c>
      <c r="N15" s="38" t="n">
        <v>0</v>
      </c>
      <c r="O15" s="42" t="n"/>
      <c r="P15" s="58" t="n">
        <v>44046</v>
      </c>
      <c r="Q15" s="21" t="n"/>
      <c r="R15" s="21" t="n"/>
      <c r="S15" s="21" t="n"/>
      <c r="AI15" s="2" t="inlineStr">
        <is>
          <t>LCW: 8/31 - 9/07</t>
        </is>
      </c>
      <c r="AJ15" t="n">
        <v>14</v>
      </c>
      <c r="AK15" t="n">
        <v>5</v>
      </c>
      <c r="AM15" s="2" t="inlineStr">
        <is>
          <t>LCW: 8/31 - 9/07</t>
        </is>
      </c>
      <c r="AN15" t="n">
        <v>6</v>
      </c>
      <c r="AO15" t="n">
        <v>8</v>
      </c>
    </row>
    <row r="16">
      <c r="A16" s="37" t="inlineStr">
        <is>
          <t>LCW: 8/10 - 8/17</t>
        </is>
      </c>
      <c r="B16" s="37">
        <f>(C16+H16+I16)</f>
        <v/>
      </c>
      <c r="C16" s="37" t="n">
        <v>13</v>
      </c>
      <c r="D16" s="37" t="n">
        <v>13</v>
      </c>
      <c r="E16" s="37" t="n">
        <v>0</v>
      </c>
      <c r="F16" s="37" t="n">
        <v>0</v>
      </c>
      <c r="G16" s="37" t="n">
        <v>0</v>
      </c>
      <c r="H16" s="37" t="n">
        <v>0</v>
      </c>
      <c r="I16" s="37" t="n">
        <v>0</v>
      </c>
      <c r="J16" s="37">
        <f>D16-F16</f>
        <v/>
      </c>
      <c r="K16" s="38">
        <f>F16/D16</f>
        <v/>
      </c>
      <c r="L16" s="38" t="n">
        <v>0</v>
      </c>
      <c r="M16" s="38">
        <f>H16/D16</f>
        <v/>
      </c>
      <c r="N16" s="38" t="n">
        <v>0</v>
      </c>
      <c r="O16" s="42" t="n"/>
      <c r="P16" s="58" t="n">
        <v>44053</v>
      </c>
      <c r="Q16" s="21" t="n"/>
      <c r="R16" s="21" t="n"/>
      <c r="S16" s="21" t="n"/>
      <c r="AI16" s="2" t="inlineStr">
        <is>
          <t>Grand Total</t>
        </is>
      </c>
      <c r="AJ16" t="n">
        <v>161</v>
      </c>
      <c r="AK16" t="n">
        <v>9</v>
      </c>
      <c r="AM16" s="2" t="inlineStr">
        <is>
          <t>Grand Total</t>
        </is>
      </c>
      <c r="AN16" t="n">
        <v>17</v>
      </c>
      <c r="AO16" t="n">
        <v>144</v>
      </c>
    </row>
    <row r="17">
      <c r="A17" s="37" t="inlineStr">
        <is>
          <t>LCW: 8/17 - 8/24</t>
        </is>
      </c>
      <c r="B17" s="37">
        <f>(C17+H17+I17)</f>
        <v/>
      </c>
      <c r="C17" s="37" t="n">
        <v>21</v>
      </c>
      <c r="D17" s="37" t="n">
        <v>21</v>
      </c>
      <c r="E17" s="37" t="n">
        <v>0</v>
      </c>
      <c r="F17" s="37" t="n">
        <v>0</v>
      </c>
      <c r="G17" s="37" t="n">
        <v>0</v>
      </c>
      <c r="H17" s="37" t="n">
        <v>0</v>
      </c>
      <c r="I17" s="37" t="n">
        <v>0</v>
      </c>
      <c r="J17" s="37">
        <f>D17-F17</f>
        <v/>
      </c>
      <c r="K17" s="38">
        <f>F17/D17</f>
        <v/>
      </c>
      <c r="L17" s="38" t="n">
        <v>0</v>
      </c>
      <c r="M17" s="38">
        <f>H17/D17</f>
        <v/>
      </c>
      <c r="N17" s="38" t="n">
        <v>0</v>
      </c>
      <c r="O17" s="42" t="n"/>
      <c r="P17" s="58" t="n">
        <v>44060</v>
      </c>
      <c r="Q17" s="21" t="n"/>
      <c r="R17" s="21" t="n"/>
      <c r="S17" s="21" t="n"/>
      <c r="AI17" s="2" t="n"/>
      <c r="AM17" s="2" t="n"/>
    </row>
    <row r="18">
      <c r="A18" s="37" t="inlineStr">
        <is>
          <t>LCW: 8/24 - 8/31</t>
        </is>
      </c>
      <c r="B18" s="37">
        <f>(C18+H18+I18)</f>
        <v/>
      </c>
      <c r="C18" s="37" t="n">
        <v>13</v>
      </c>
      <c r="D18" s="37" t="n">
        <v>10</v>
      </c>
      <c r="E18" s="37" t="n">
        <v>3</v>
      </c>
      <c r="F18" s="37" t="n">
        <v>5</v>
      </c>
      <c r="G18" s="37" t="n">
        <v>0</v>
      </c>
      <c r="H18" s="37" t="n">
        <v>0</v>
      </c>
      <c r="I18" s="37" t="n">
        <v>0</v>
      </c>
      <c r="J18" s="37">
        <f>D18-F18</f>
        <v/>
      </c>
      <c r="K18" s="38">
        <f>F18/D18</f>
        <v/>
      </c>
      <c r="L18" s="38">
        <f>G18/E18</f>
        <v/>
      </c>
      <c r="M18" s="38">
        <f>H18/D18</f>
        <v/>
      </c>
      <c r="N18" s="38">
        <f>I18/E18</f>
        <v/>
      </c>
      <c r="O18" s="42" t="n"/>
      <c r="P18" s="58" t="n">
        <v>44067</v>
      </c>
      <c r="Q18" s="21" t="n"/>
      <c r="R18" s="21" t="n"/>
      <c r="S18" s="21" t="n"/>
      <c r="AI18" s="2" t="n"/>
      <c r="AM18" s="2" t="n"/>
    </row>
    <row r="19">
      <c r="A19" s="37" t="inlineStr">
        <is>
          <t>LCW: 8/31 - 9/07</t>
        </is>
      </c>
      <c r="B19" s="37">
        <f>(C19+H19+I19)</f>
        <v/>
      </c>
      <c r="C19" s="37" t="n">
        <v>19</v>
      </c>
      <c r="D19" s="37" t="n">
        <v>14</v>
      </c>
      <c r="E19" s="37" t="n">
        <v>5</v>
      </c>
      <c r="F19" s="37" t="n">
        <v>6</v>
      </c>
      <c r="G19" s="37" t="n">
        <v>0</v>
      </c>
      <c r="H19" s="37" t="n">
        <v>0</v>
      </c>
      <c r="I19" s="37" t="n">
        <v>0</v>
      </c>
      <c r="J19" s="37">
        <f>D19-F19</f>
        <v/>
      </c>
      <c r="K19" s="38">
        <f>F19/D19</f>
        <v/>
      </c>
      <c r="L19" s="38">
        <f>G19/E19</f>
        <v/>
      </c>
      <c r="M19" s="38">
        <f>H19/D19</f>
        <v/>
      </c>
      <c r="N19" s="38">
        <f>I19/E19</f>
        <v/>
      </c>
      <c r="O19" s="42" t="n"/>
      <c r="P19" s="58" t="n">
        <v>44074</v>
      </c>
      <c r="Q19" s="21" t="n"/>
      <c r="R19" s="21" t="n"/>
      <c r="S19" s="21" t="n"/>
      <c r="AI19" s="2" t="inlineStr">
        <is>
          <t>Kanban Week</t>
        </is>
      </c>
      <c r="AJ19" t="inlineStr">
        <is>
          <t>V2</t>
        </is>
      </c>
      <c r="AK19" t="inlineStr">
        <is>
          <t>LT</t>
        </is>
      </c>
      <c r="AM19" s="2" t="inlineStr">
        <is>
          <t>QA Passed</t>
        </is>
      </c>
      <c r="AN19">
        <f>AO16</f>
        <v/>
      </c>
    </row>
    <row r="20">
      <c r="A20" s="37" t="inlineStr">
        <is>
          <t>LCW: 9/07 - 9/14</t>
        </is>
      </c>
      <c r="B20" s="37">
        <f>(C20+H20+I20)</f>
        <v/>
      </c>
      <c r="C20" s="37" t="n">
        <v>11</v>
      </c>
      <c r="D20" s="37" t="n">
        <v>10</v>
      </c>
      <c r="E20" s="37" t="n">
        <v>1</v>
      </c>
      <c r="F20" s="37" t="n">
        <v>0</v>
      </c>
      <c r="G20" s="37" t="n">
        <v>5</v>
      </c>
      <c r="H20" s="37" t="n">
        <v>0</v>
      </c>
      <c r="I20" s="37" t="n">
        <v>0</v>
      </c>
      <c r="J20" s="37">
        <f>D20-F20</f>
        <v/>
      </c>
      <c r="K20" s="38">
        <f>F20/D20</f>
        <v/>
      </c>
      <c r="L20" s="38">
        <f>G20/E20</f>
        <v/>
      </c>
      <c r="M20" s="38">
        <f>H20/D20</f>
        <v/>
      </c>
      <c r="N20" s="38">
        <f>I20/E20</f>
        <v/>
      </c>
      <c r="O20" s="42" t="n"/>
      <c r="P20" s="58" t="n">
        <v>44081</v>
      </c>
      <c r="Q20" s="21" t="n"/>
      <c r="R20" s="21" t="n"/>
      <c r="S20" s="21" t="n"/>
      <c r="AI20" s="2">
        <f>AI2</f>
        <v/>
      </c>
      <c r="AJ20">
        <f>AJ2</f>
        <v/>
      </c>
      <c r="AK20">
        <f>AK2</f>
        <v/>
      </c>
      <c r="AM20" s="2" t="inlineStr">
        <is>
          <t>Rework</t>
        </is>
      </c>
      <c r="AN20">
        <f>AN16</f>
        <v/>
      </c>
    </row>
    <row r="21">
      <c r="A21" s="37" t="inlineStr">
        <is>
          <t>LCW: 9/14 - 9/21</t>
        </is>
      </c>
      <c r="B21" s="37">
        <f>(C21+H21+I21)</f>
        <v/>
      </c>
      <c r="C21" s="37" t="n">
        <v>8</v>
      </c>
      <c r="D21" s="37" t="n">
        <v>8</v>
      </c>
      <c r="E21" s="37" t="n">
        <v>0</v>
      </c>
      <c r="F21" s="37" t="n">
        <v>3</v>
      </c>
      <c r="G21" s="37" t="n">
        <v>3</v>
      </c>
      <c r="H21" s="37" t="n">
        <v>0</v>
      </c>
      <c r="I21" s="37" t="n">
        <v>0</v>
      </c>
      <c r="J21" s="37">
        <f>D21-F21</f>
        <v/>
      </c>
      <c r="K21" s="38">
        <f>F21/D21</f>
        <v/>
      </c>
      <c r="L21" s="38" t="n">
        <v>0</v>
      </c>
      <c r="M21" s="38">
        <f>H21/D21</f>
        <v/>
      </c>
      <c r="N21" s="38" t="n">
        <v>0</v>
      </c>
      <c r="O21" s="42" t="n"/>
      <c r="P21" s="58" t="n">
        <v>44088</v>
      </c>
      <c r="Q21" s="21" t="n"/>
      <c r="R21" s="21" t="n"/>
      <c r="S21" s="21" t="n"/>
      <c r="AI21" s="2">
        <f>AI3</f>
        <v/>
      </c>
      <c r="AJ21">
        <f>AJ3</f>
        <v/>
      </c>
      <c r="AK21">
        <f>AK3</f>
        <v/>
      </c>
      <c r="AM21" s="2" t="n"/>
    </row>
    <row r="22">
      <c r="A22" s="37" t="inlineStr">
        <is>
          <t>LCW: 9/21 - 9/28</t>
        </is>
      </c>
      <c r="B22" s="37">
        <f>(C22+H22+I22)</f>
        <v/>
      </c>
      <c r="C22" s="37" t="n">
        <v>9</v>
      </c>
      <c r="D22" s="37" t="n">
        <v>9</v>
      </c>
      <c r="E22" s="37" t="n">
        <v>0</v>
      </c>
      <c r="F22" s="37" t="n">
        <v>3</v>
      </c>
      <c r="G22" s="37" t="n">
        <v>0</v>
      </c>
      <c r="H22" s="37" t="n">
        <v>0</v>
      </c>
      <c r="I22" s="37" t="n">
        <v>0</v>
      </c>
      <c r="J22" s="37">
        <f>D22-F22</f>
        <v/>
      </c>
      <c r="K22" s="38">
        <f>F22/D22</f>
        <v/>
      </c>
      <c r="L22" s="38" t="n">
        <v>0</v>
      </c>
      <c r="M22" s="38">
        <f>H22/D22</f>
        <v/>
      </c>
      <c r="N22" s="38" t="n">
        <v>0</v>
      </c>
      <c r="O22" s="42" t="n"/>
      <c r="P22" s="58" t="n">
        <v>44095</v>
      </c>
      <c r="Q22" s="21" t="n"/>
      <c r="R22" s="21" t="n"/>
      <c r="S22" s="21" t="n"/>
      <c r="AI22" s="2">
        <f>AI4</f>
        <v/>
      </c>
      <c r="AJ22">
        <f>AJ4</f>
        <v/>
      </c>
      <c r="AK22">
        <f>AK4</f>
        <v/>
      </c>
      <c r="AM22" s="2" t="n"/>
    </row>
    <row r="23">
      <c r="A23" s="37" t="inlineStr">
        <is>
          <t>LCW: 9/28 - 10/05</t>
        </is>
      </c>
      <c r="B23" s="37">
        <f>(C23+H23+I23)</f>
        <v/>
      </c>
      <c r="C23" s="37" t="n">
        <v>9</v>
      </c>
      <c r="D23" s="37" t="n">
        <v>9</v>
      </c>
      <c r="E23" s="37" t="n">
        <v>0</v>
      </c>
      <c r="F23" s="37" t="n">
        <v>0</v>
      </c>
      <c r="G23" s="37" t="n">
        <v>0</v>
      </c>
      <c r="H23" s="37" t="n">
        <v>0</v>
      </c>
      <c r="I23" s="37" t="n">
        <v>0</v>
      </c>
      <c r="J23" s="37">
        <f>D23-F23</f>
        <v/>
      </c>
      <c r="K23" s="38">
        <f>F23/D23</f>
        <v/>
      </c>
      <c r="L23" s="38" t="n">
        <v>0</v>
      </c>
      <c r="M23" s="38">
        <f>H23/D23</f>
        <v/>
      </c>
      <c r="N23" s="38" t="n">
        <v>0</v>
      </c>
      <c r="O23" s="42" t="n"/>
      <c r="P23" s="58" t="n">
        <v>44102</v>
      </c>
      <c r="Q23" s="21" t="n"/>
      <c r="R23" s="21" t="n"/>
      <c r="S23" s="21" t="n"/>
      <c r="AI23" s="2">
        <f>AI5</f>
        <v/>
      </c>
      <c r="AJ23">
        <f>AJ5</f>
        <v/>
      </c>
      <c r="AK23">
        <f>AK5</f>
        <v/>
      </c>
      <c r="AM23" s="2" t="n"/>
    </row>
    <row r="24">
      <c r="A24" s="37" t="n"/>
      <c r="B24" s="37" t="n"/>
      <c r="C24" s="37" t="n"/>
      <c r="D24" s="37" t="n"/>
      <c r="E24" s="37" t="n"/>
      <c r="F24" s="37" t="n"/>
      <c r="G24" s="37" t="n"/>
      <c r="H24" s="37" t="n"/>
      <c r="I24" s="37" t="n"/>
      <c r="J24" s="37" t="n"/>
      <c r="K24" s="38" t="n"/>
      <c r="L24" s="38" t="n"/>
      <c r="M24" s="38" t="n"/>
      <c r="N24" s="38" t="n"/>
      <c r="O24" s="42" t="n"/>
      <c r="P24" s="58" t="n"/>
      <c r="Q24" s="21" t="n"/>
      <c r="R24" s="21" t="n"/>
      <c r="S24" s="21" t="n"/>
      <c r="AI24" s="2">
        <f>AI6</f>
        <v/>
      </c>
      <c r="AJ24">
        <f>AJ6</f>
        <v/>
      </c>
      <c r="AK24">
        <f>AK6</f>
        <v/>
      </c>
      <c r="AM24" s="2" t="n"/>
    </row>
    <row r="25">
      <c r="A25" s="37" t="n"/>
      <c r="B25" s="37" t="n"/>
      <c r="C25" s="37" t="n"/>
      <c r="D25" s="37" t="n"/>
      <c r="E25" s="37" t="n"/>
      <c r="F25" s="37" t="n"/>
      <c r="G25" s="37" t="n"/>
      <c r="H25" s="37" t="n"/>
      <c r="I25" s="37" t="n"/>
      <c r="J25" s="37" t="n"/>
      <c r="K25" s="37" t="n"/>
      <c r="L25" s="37" t="n"/>
      <c r="M25" s="37" t="n"/>
      <c r="N25" s="37" t="n"/>
      <c r="O25" s="42" t="n"/>
      <c r="AI25" s="9">
        <f>AI7</f>
        <v/>
      </c>
      <c r="AJ25">
        <f>AJ7</f>
        <v/>
      </c>
      <c r="AK25" s="10">
        <f>AK7</f>
        <v/>
      </c>
    </row>
    <row r="26">
      <c r="A26" s="37" t="n"/>
      <c r="B26" s="37" t="n"/>
      <c r="C26" s="37" t="n"/>
      <c r="D26" s="37" t="n"/>
      <c r="E26" s="37" t="n"/>
      <c r="F26" s="37" t="n"/>
      <c r="G26" s="37" t="n"/>
      <c r="H26" s="37" t="n"/>
      <c r="I26" s="37" t="n"/>
      <c r="J26" s="37" t="n"/>
      <c r="K26" s="37" t="n"/>
      <c r="L26" s="37" t="n"/>
      <c r="M26" s="37" t="n"/>
      <c r="N26" s="37" t="n"/>
      <c r="O26" s="42" t="n"/>
      <c r="AI26" s="9">
        <f>AI8</f>
        <v/>
      </c>
      <c r="AJ26">
        <f>AJ8</f>
        <v/>
      </c>
      <c r="AK26" s="10">
        <f>AK8</f>
        <v/>
      </c>
    </row>
    <row r="27">
      <c r="A27" s="37" t="n"/>
      <c r="B27" s="37" t="n"/>
      <c r="C27" s="37" t="n"/>
      <c r="D27" s="37" t="n"/>
      <c r="E27" s="37" t="n"/>
      <c r="F27" s="37" t="n"/>
      <c r="G27" s="37" t="n"/>
      <c r="H27" s="37" t="n"/>
      <c r="I27" s="37" t="n"/>
      <c r="J27" s="37" t="n"/>
      <c r="K27" s="37" t="n"/>
      <c r="L27" s="37" t="n"/>
      <c r="M27" s="37" t="n"/>
      <c r="N27" s="37" t="n"/>
      <c r="O27" s="42" t="n"/>
      <c r="AI27" s="9">
        <f>AI9</f>
        <v/>
      </c>
      <c r="AJ27">
        <f>AJ9</f>
        <v/>
      </c>
      <c r="AK27" s="10">
        <f>AK9</f>
        <v/>
      </c>
    </row>
    <row r="28">
      <c r="A28" s="37" t="n"/>
      <c r="B28" s="37" t="n"/>
      <c r="C28" s="37" t="n"/>
      <c r="D28" s="37" t="n"/>
      <c r="E28" s="37" t="n"/>
      <c r="F28" s="37" t="n"/>
      <c r="G28" s="37" t="n"/>
      <c r="H28" s="37" t="n"/>
      <c r="I28" s="37" t="n"/>
      <c r="J28" s="37" t="n"/>
      <c r="K28" s="37" t="n"/>
      <c r="L28" s="37" t="n"/>
      <c r="M28" s="37" t="n"/>
      <c r="N28" s="37" t="n"/>
      <c r="O28" s="42" t="n"/>
      <c r="AI28" s="9">
        <f>AI10</f>
        <v/>
      </c>
      <c r="AJ28">
        <f>AJ10</f>
        <v/>
      </c>
      <c r="AK28" s="10">
        <f>AK10</f>
        <v/>
      </c>
    </row>
    <row r="29">
      <c r="A29" s="37" t="n"/>
      <c r="B29" s="37" t="n"/>
      <c r="C29" s="37" t="n"/>
      <c r="D29" s="37" t="n"/>
      <c r="E29" s="37" t="n"/>
      <c r="F29" s="37" t="n"/>
      <c r="G29" s="37" t="n"/>
      <c r="H29" s="37" t="n"/>
      <c r="I29" s="37" t="n"/>
      <c r="J29" s="37" t="n"/>
      <c r="K29" s="37" t="n"/>
      <c r="L29" s="37" t="n"/>
      <c r="M29" s="37" t="n"/>
      <c r="N29" s="37" t="n"/>
      <c r="O29" s="42" t="n"/>
      <c r="AI29" s="9">
        <f>AI11</f>
        <v/>
      </c>
      <c r="AJ29">
        <f>AJ11</f>
        <v/>
      </c>
      <c r="AK29" s="10">
        <f>AK11</f>
        <v/>
      </c>
    </row>
    <row r="30">
      <c r="A30" s="37" t="n"/>
      <c r="B30" s="37" t="n"/>
      <c r="C30" s="37" t="n"/>
      <c r="D30" s="37" t="n"/>
      <c r="E30" s="37" t="n"/>
      <c r="F30" s="37" t="n"/>
      <c r="G30" s="37" t="n"/>
      <c r="H30" s="37" t="n"/>
      <c r="I30" s="37" t="n"/>
      <c r="J30" s="37" t="n"/>
      <c r="K30" s="37" t="n"/>
      <c r="L30" s="37" t="n"/>
      <c r="M30" s="37" t="n"/>
      <c r="N30" s="37" t="n"/>
      <c r="O30" s="42" t="n"/>
      <c r="AI30" s="9">
        <f>AI12</f>
        <v/>
      </c>
      <c r="AJ30">
        <f>AJ12</f>
        <v/>
      </c>
      <c r="AK30" s="10">
        <f>AK12</f>
        <v/>
      </c>
    </row>
    <row r="31">
      <c r="A31" s="37" t="n"/>
      <c r="B31" s="37" t="n"/>
      <c r="C31" s="37" t="n"/>
      <c r="D31" s="37" t="n"/>
      <c r="E31" s="37" t="n"/>
      <c r="F31" s="37" t="n"/>
      <c r="G31" s="37" t="n"/>
      <c r="H31" s="37" t="n"/>
      <c r="I31" s="37" t="n"/>
      <c r="J31" s="37" t="n"/>
      <c r="K31" s="37" t="n"/>
      <c r="L31" s="37" t="n"/>
      <c r="M31" s="37" t="n"/>
      <c r="N31" s="37" t="n"/>
      <c r="O31" s="42" t="n"/>
      <c r="AI31" s="9">
        <f>AI13</f>
        <v/>
      </c>
      <c r="AJ31">
        <f>AJ13</f>
        <v/>
      </c>
      <c r="AK31" s="10">
        <f>AK13</f>
        <v/>
      </c>
    </row>
    <row r="32">
      <c r="A32" s="37" t="n"/>
      <c r="B32" s="37" t="n"/>
      <c r="C32" s="37" t="n"/>
      <c r="D32" s="37" t="n"/>
      <c r="E32" s="37" t="n"/>
      <c r="F32" s="37" t="n"/>
      <c r="G32" s="37" t="n"/>
      <c r="H32" s="37" t="n"/>
      <c r="I32" s="37" t="n"/>
      <c r="J32" s="37" t="n"/>
      <c r="K32" s="37" t="n"/>
      <c r="L32" s="37" t="n"/>
      <c r="M32" s="37" t="n"/>
      <c r="N32" s="37" t="n"/>
      <c r="O32" s="42" t="n"/>
      <c r="AI32" s="9">
        <f>AI14</f>
        <v/>
      </c>
      <c r="AJ32">
        <f>AJ14</f>
        <v/>
      </c>
      <c r="AK32" s="10">
        <f>AK14</f>
        <v/>
      </c>
    </row>
    <row r="33" ht="15.75" customHeight="1" thickBot="1">
      <c r="A33" s="37" t="n"/>
      <c r="B33" s="37" t="n"/>
      <c r="C33" s="37" t="n"/>
      <c r="D33" s="37" t="n"/>
      <c r="E33" s="37" t="n"/>
      <c r="F33" s="37" t="n"/>
      <c r="G33" s="37" t="n"/>
      <c r="H33" s="37" t="n"/>
      <c r="I33" s="37" t="n"/>
      <c r="J33" s="37" t="n"/>
      <c r="K33" s="37" t="n"/>
      <c r="L33" s="37" t="n"/>
      <c r="M33" s="37" t="n"/>
      <c r="N33" s="37" t="n"/>
      <c r="O33" s="42" t="n"/>
      <c r="AI33" s="11">
        <f>AI15</f>
        <v/>
      </c>
      <c r="AJ33" s="12">
        <f>AJ15</f>
        <v/>
      </c>
      <c r="AK33" s="13">
        <f>AK15</f>
        <v/>
      </c>
    </row>
    <row r="34">
      <c r="A34" s="37" t="n"/>
      <c r="B34" s="37" t="n"/>
      <c r="C34" s="37" t="n"/>
      <c r="D34" s="37" t="n"/>
      <c r="E34" s="37" t="n"/>
      <c r="F34" s="37" t="n"/>
      <c r="G34" s="37" t="n"/>
      <c r="H34" s="37" t="n"/>
      <c r="I34" s="37" t="n"/>
      <c r="J34" s="37" t="n"/>
      <c r="K34" s="37" t="n"/>
      <c r="L34" s="37" t="n"/>
      <c r="M34" s="37" t="n"/>
      <c r="N34" s="37" t="n"/>
      <c r="O34" s="42" t="n"/>
    </row>
    <row r="35">
      <c r="A35" s="37" t="n"/>
      <c r="B35" s="37" t="n"/>
      <c r="C35" s="37" t="n"/>
      <c r="D35" s="37" t="n"/>
      <c r="E35" s="37" t="n"/>
      <c r="F35" s="37" t="n"/>
      <c r="G35" s="37" t="n"/>
      <c r="H35" s="37" t="n"/>
      <c r="I35" s="37" t="n"/>
      <c r="J35" s="37" t="n"/>
      <c r="K35" s="37" t="n"/>
      <c r="L35" s="37" t="n"/>
      <c r="M35" s="37" t="n"/>
      <c r="N35" s="37" t="n"/>
      <c r="O35" s="42" t="n"/>
    </row>
    <row r="36">
      <c r="A36" s="37" t="n"/>
      <c r="B36" s="37" t="n"/>
      <c r="C36" s="37" t="n"/>
      <c r="D36" s="37" t="n"/>
      <c r="E36" s="37" t="n"/>
      <c r="F36" s="37" t="n"/>
      <c r="G36" s="37" t="n"/>
      <c r="H36" s="37" t="n"/>
      <c r="I36" s="37" t="n"/>
      <c r="J36" s="37" t="n"/>
      <c r="K36" s="37" t="n"/>
      <c r="L36" s="37" t="n"/>
      <c r="M36" s="37" t="n"/>
      <c r="N36" s="37" t="n"/>
      <c r="O36" s="42" t="n"/>
    </row>
    <row r="37">
      <c r="A37" s="37" t="n"/>
      <c r="B37" s="37" t="n"/>
      <c r="C37" s="37" t="n"/>
      <c r="D37" s="37" t="n"/>
      <c r="E37" s="37" t="n"/>
      <c r="F37" s="37" t="n"/>
      <c r="G37" s="37" t="n"/>
      <c r="H37" s="37" t="n"/>
      <c r="I37" s="37" t="n"/>
      <c r="J37" s="37" t="n"/>
      <c r="K37" s="37" t="n"/>
      <c r="L37" s="37" t="n"/>
      <c r="M37" s="37" t="n"/>
      <c r="N37" s="37" t="n"/>
      <c r="O37" s="42" t="n"/>
      <c r="AI37" s="4" t="inlineStr">
        <is>
          <t>Row Labels</t>
        </is>
      </c>
      <c r="AJ37" t="inlineStr">
        <is>
          <t>Sum of V2 Reopen Percentage</t>
        </is>
      </c>
      <c r="AK37" t="inlineStr">
        <is>
          <t>Sum of LT Reopen Percentage</t>
        </is>
      </c>
      <c r="AM37" s="4" t="inlineStr">
        <is>
          <t>Row Labels</t>
        </is>
      </c>
      <c r="AN37" t="inlineStr">
        <is>
          <t>Sum of V2 Carryover Percentage</t>
        </is>
      </c>
      <c r="AO37" t="inlineStr">
        <is>
          <t>Sum of LT Carryover Percentage</t>
        </is>
      </c>
    </row>
    <row r="38">
      <c r="A38" s="37" t="n"/>
      <c r="B38" s="37" t="n"/>
      <c r="C38" s="37" t="n"/>
      <c r="D38" s="37" t="n"/>
      <c r="E38" s="37" t="n"/>
      <c r="F38" s="37" t="n"/>
      <c r="G38" s="37" t="n"/>
      <c r="H38" s="37" t="n"/>
      <c r="I38" s="37" t="n"/>
      <c r="J38" s="37" t="n"/>
      <c r="K38" s="37" t="n"/>
      <c r="L38" s="37" t="n"/>
      <c r="M38" s="37" t="n"/>
      <c r="N38" s="37" t="n"/>
      <c r="O38" s="42" t="n"/>
      <c r="AI38" s="2" t="inlineStr">
        <is>
          <t>LCW: 6/29 - 7/06</t>
        </is>
      </c>
      <c r="AJ38" t="n">
        <v>0</v>
      </c>
      <c r="AK38" t="n">
        <v>0</v>
      </c>
      <c r="AM38" s="2" t="inlineStr">
        <is>
          <t>LCW: 6/29 - 7/06</t>
        </is>
      </c>
      <c r="AN38" t="n">
        <v>0</v>
      </c>
      <c r="AO38" t="n">
        <v>0</v>
      </c>
    </row>
    <row r="39">
      <c r="A39" s="37" t="n"/>
      <c r="B39" s="37" t="n"/>
      <c r="C39" s="37" t="n"/>
      <c r="D39" s="37" t="n"/>
      <c r="E39" s="37" t="n"/>
      <c r="F39" s="37" t="n"/>
      <c r="G39" s="37" t="n"/>
      <c r="H39" s="37" t="n"/>
      <c r="I39" s="37" t="n"/>
      <c r="J39" s="37" t="n"/>
      <c r="K39" s="37" t="n"/>
      <c r="L39" s="37" t="n"/>
      <c r="M39" s="37" t="n"/>
      <c r="N39" s="37" t="n"/>
      <c r="O39" s="42" t="n"/>
      <c r="AI39" s="2" t="inlineStr">
        <is>
          <t>LCW: 7/06 - 7/13</t>
        </is>
      </c>
      <c r="AJ39" t="n">
        <v>0</v>
      </c>
      <c r="AK39" t="n">
        <v>0</v>
      </c>
      <c r="AM39" s="2" t="inlineStr">
        <is>
          <t>LCW: 7/06 - 7/13</t>
        </is>
      </c>
      <c r="AN39" t="n">
        <v>0</v>
      </c>
      <c r="AO39" t="n">
        <v>0</v>
      </c>
    </row>
    <row r="40">
      <c r="A40" s="37" t="n"/>
      <c r="B40" s="37" t="n"/>
      <c r="C40" s="37" t="n"/>
      <c r="D40" s="37" t="n"/>
      <c r="E40" s="37" t="n"/>
      <c r="F40" s="37" t="n"/>
      <c r="G40" s="37" t="n"/>
      <c r="H40" s="37" t="n"/>
      <c r="I40" s="37" t="n"/>
      <c r="J40" s="37" t="n"/>
      <c r="K40" s="37" t="n"/>
      <c r="L40" s="37" t="n"/>
      <c r="M40" s="37" t="n"/>
      <c r="N40" s="37" t="n"/>
      <c r="O40" s="42" t="n"/>
      <c r="AI40" s="2" t="inlineStr">
        <is>
          <t>LCW: 7/13 - 7/20</t>
        </is>
      </c>
      <c r="AJ40" t="n">
        <v>0</v>
      </c>
      <c r="AK40" t="n">
        <v>0</v>
      </c>
      <c r="AM40" s="2" t="inlineStr">
        <is>
          <t>LCW: 7/13 - 7/20</t>
        </is>
      </c>
      <c r="AN40" t="n">
        <v>0</v>
      </c>
      <c r="AO40" t="n">
        <v>0</v>
      </c>
    </row>
    <row r="41">
      <c r="A41" s="37" t="n"/>
      <c r="B41" s="37" t="n"/>
      <c r="C41" s="37" t="n"/>
      <c r="D41" s="37" t="n"/>
      <c r="E41" s="37" t="n"/>
      <c r="F41" s="37" t="n"/>
      <c r="G41" s="37" t="n"/>
      <c r="H41" s="37" t="n"/>
      <c r="I41" s="37" t="n"/>
      <c r="J41" s="37" t="n"/>
      <c r="K41" s="37" t="n"/>
      <c r="L41" s="37" t="n"/>
      <c r="M41" s="37" t="n"/>
      <c r="N41" s="37" t="n"/>
      <c r="O41" s="42" t="n"/>
      <c r="AI41" s="2" t="inlineStr">
        <is>
          <t>LCW: 7/20 - 7/27</t>
        </is>
      </c>
      <c r="AJ41" t="n">
        <v>0</v>
      </c>
      <c r="AK41" t="n">
        <v>0</v>
      </c>
      <c r="AM41" s="2" t="inlineStr">
        <is>
          <t>LCW: 7/20 - 7/27</t>
        </is>
      </c>
      <c r="AN41" t="n">
        <v>0</v>
      </c>
      <c r="AO41" t="n">
        <v>0</v>
      </c>
    </row>
    <row r="42">
      <c r="A42" s="37" t="n"/>
      <c r="B42" s="37" t="n"/>
      <c r="C42" s="37" t="n"/>
      <c r="D42" s="37" t="n"/>
      <c r="E42" s="37" t="n"/>
      <c r="F42" s="37" t="n"/>
      <c r="G42" s="37" t="n"/>
      <c r="H42" s="37" t="n"/>
      <c r="I42" s="37" t="n"/>
      <c r="J42" s="37" t="n"/>
      <c r="K42" s="37" t="n"/>
      <c r="L42" s="37" t="n"/>
      <c r="M42" s="37" t="n"/>
      <c r="N42" s="37" t="n"/>
      <c r="O42" s="42" t="n"/>
      <c r="AI42" s="2" t="inlineStr">
        <is>
          <t>LCW: 7/27 - 8/03</t>
        </is>
      </c>
      <c r="AJ42" t="n">
        <v>0</v>
      </c>
      <c r="AK42" t="n">
        <v>0</v>
      </c>
      <c r="AM42" s="2" t="inlineStr">
        <is>
          <t>LCW: 7/27 - 8/03</t>
        </is>
      </c>
      <c r="AN42" t="n">
        <v>0</v>
      </c>
      <c r="AO42" t="n">
        <v>0</v>
      </c>
    </row>
    <row r="43">
      <c r="A43" s="37" t="n"/>
      <c r="B43" s="37" t="n"/>
      <c r="C43" s="37" t="n"/>
      <c r="D43" s="37" t="n"/>
      <c r="E43" s="37" t="n"/>
      <c r="F43" s="37" t="n"/>
      <c r="G43" s="37" t="n"/>
      <c r="H43" s="37" t="n"/>
      <c r="I43" s="37" t="n"/>
      <c r="J43" s="37" t="n"/>
      <c r="K43" s="37" t="n"/>
      <c r="L43" s="37" t="n"/>
      <c r="M43" s="37" t="n"/>
      <c r="N43" s="37" t="n"/>
      <c r="O43" s="42" t="n"/>
      <c r="AI43" s="2" t="inlineStr">
        <is>
          <t>LCW: 8/03 - 8/10</t>
        </is>
      </c>
      <c r="AJ43" t="n">
        <v>0</v>
      </c>
      <c r="AK43" t="n">
        <v>0</v>
      </c>
      <c r="AM43" s="2" t="inlineStr">
        <is>
          <t>LCW: 8/03 - 8/10</t>
        </is>
      </c>
      <c r="AN43" t="n">
        <v>0</v>
      </c>
      <c r="AO43" t="n">
        <v>0</v>
      </c>
    </row>
    <row r="44">
      <c r="AI44" s="2" t="inlineStr">
        <is>
          <t>LCW: 8/10 - 8/17</t>
        </is>
      </c>
      <c r="AJ44" t="n">
        <v>0</v>
      </c>
      <c r="AK44" t="n">
        <v>0</v>
      </c>
      <c r="AM44" s="2" t="inlineStr">
        <is>
          <t>LCW: 8/10 - 8/17</t>
        </is>
      </c>
      <c r="AN44" t="n">
        <v>0</v>
      </c>
      <c r="AO44" t="n">
        <v>0</v>
      </c>
    </row>
    <row r="45">
      <c r="AI45" s="2" t="inlineStr">
        <is>
          <t>LCW: 8/17 - 8/24</t>
        </is>
      </c>
      <c r="AJ45" t="n">
        <v>0</v>
      </c>
      <c r="AK45" t="n">
        <v>0</v>
      </c>
      <c r="AM45" s="2" t="inlineStr">
        <is>
          <t>LCW: 8/17 - 8/24</t>
        </is>
      </c>
      <c r="AN45" t="n">
        <v>0</v>
      </c>
      <c r="AO45" t="n">
        <v>0</v>
      </c>
    </row>
    <row r="46">
      <c r="AI46" s="2" t="inlineStr">
        <is>
          <t>LCW: 8/24 - 8/31</t>
        </is>
      </c>
      <c r="AJ46" t="n">
        <v>0.5</v>
      </c>
      <c r="AK46" t="n">
        <v>0</v>
      </c>
      <c r="AM46" s="2" t="inlineStr">
        <is>
          <t>LCW: 8/24 - 8/31</t>
        </is>
      </c>
      <c r="AN46" t="n">
        <v>0</v>
      </c>
      <c r="AO46" t="n">
        <v>0</v>
      </c>
    </row>
    <row r="47">
      <c r="AI47" s="2" t="inlineStr">
        <is>
          <t>LCW: 9/07 - 9/14</t>
        </is>
      </c>
      <c r="AJ47" t="n">
        <v>0</v>
      </c>
      <c r="AK47" t="n">
        <v>5</v>
      </c>
      <c r="AM47" s="2" t="inlineStr">
        <is>
          <t>LCW: 9/07 - 9/14</t>
        </is>
      </c>
      <c r="AN47" t="n">
        <v>0</v>
      </c>
      <c r="AO47" t="n">
        <v>0</v>
      </c>
    </row>
    <row r="48">
      <c r="AI48" s="2" t="inlineStr">
        <is>
          <t>LCW: 9/14 - 9/21</t>
        </is>
      </c>
      <c r="AJ48" t="n">
        <v>0.375</v>
      </c>
      <c r="AK48" t="n">
        <v>0</v>
      </c>
      <c r="AM48" s="2" t="inlineStr">
        <is>
          <t>LCW: 9/14 - 9/21</t>
        </is>
      </c>
      <c r="AN48" t="n">
        <v>0</v>
      </c>
      <c r="AO48" t="n">
        <v>0</v>
      </c>
    </row>
    <row r="49">
      <c r="AI49" s="2" t="inlineStr">
        <is>
          <t>LCW: 9/21 - 9/28</t>
        </is>
      </c>
      <c r="AJ49" t="n">
        <v>0.3333333333333333</v>
      </c>
      <c r="AK49" t="n">
        <v>0</v>
      </c>
      <c r="AM49" s="2" t="inlineStr">
        <is>
          <t>LCW: 9/21 - 9/28</t>
        </is>
      </c>
      <c r="AN49" t="n">
        <v>0</v>
      </c>
      <c r="AO49" t="n">
        <v>0</v>
      </c>
    </row>
    <row r="50">
      <c r="AI50" s="2" t="inlineStr">
        <is>
          <t>LCW: 9/28 - 10/05</t>
        </is>
      </c>
      <c r="AJ50" t="n">
        <v>0</v>
      </c>
      <c r="AK50" t="n">
        <v>0</v>
      </c>
      <c r="AM50" s="2" t="inlineStr">
        <is>
          <t>LCW: 9/28 - 10/05</t>
        </is>
      </c>
      <c r="AN50" t="n">
        <v>0</v>
      </c>
      <c r="AO50" t="n">
        <v>0</v>
      </c>
    </row>
    <row r="51">
      <c r="AI51" s="2" t="inlineStr">
        <is>
          <t>LCW: 8/31 - 9/07</t>
        </is>
      </c>
      <c r="AJ51" t="n">
        <v>0.4285714285714285</v>
      </c>
      <c r="AK51" t="n">
        <v>0</v>
      </c>
      <c r="AM51" s="2" t="inlineStr">
        <is>
          <t>LCW: 8/31 - 9/07</t>
        </is>
      </c>
      <c r="AN51" t="n">
        <v>0</v>
      </c>
      <c r="AO51" t="n">
        <v>0</v>
      </c>
    </row>
    <row r="52">
      <c r="AI52" s="2" t="inlineStr">
        <is>
          <t>Grand Total</t>
        </is>
      </c>
      <c r="AJ52" t="n">
        <v>1.636904761904762</v>
      </c>
      <c r="AK52" t="n">
        <v>5</v>
      </c>
      <c r="AM52" s="2" t="inlineStr">
        <is>
          <t>Grand Total</t>
        </is>
      </c>
      <c r="AN52" t="n">
        <v>0</v>
      </c>
      <c r="AO52" t="n">
        <v>0</v>
      </c>
    </row>
    <row r="53" ht="15.75" customHeight="1" thickBot="1"/>
    <row r="54" ht="15.75" customHeight="1" thickBot="1">
      <c r="AI54" s="14" t="inlineStr">
        <is>
          <t>Sprint</t>
        </is>
      </c>
      <c r="AJ54" s="15" t="inlineStr">
        <is>
          <t>V2</t>
        </is>
      </c>
      <c r="AK54" s="16" t="inlineStr">
        <is>
          <t>LT</t>
        </is>
      </c>
      <c r="AM54" s="14" t="inlineStr">
        <is>
          <t>Sprint</t>
        </is>
      </c>
      <c r="AN54" s="15" t="inlineStr">
        <is>
          <t>V2</t>
        </is>
      </c>
      <c r="AO54" s="16" t="inlineStr">
        <is>
          <t>LT</t>
        </is>
      </c>
    </row>
    <row r="55">
      <c r="AI55" s="17">
        <f>AI38</f>
        <v/>
      </c>
      <c r="AJ55" s="23">
        <f>AJ38</f>
        <v/>
      </c>
      <c r="AK55" s="24">
        <f>AK38</f>
        <v/>
      </c>
      <c r="AM55" s="17">
        <f>AM38</f>
        <v/>
      </c>
      <c r="AN55" s="23">
        <f>AN38</f>
        <v/>
      </c>
      <c r="AO55" s="24">
        <f>AO38</f>
        <v/>
      </c>
    </row>
    <row r="56">
      <c r="AI56" s="17">
        <f>AI39</f>
        <v/>
      </c>
      <c r="AJ56" s="23">
        <f>AJ39</f>
        <v/>
      </c>
      <c r="AK56" s="24">
        <f>AK39</f>
        <v/>
      </c>
      <c r="AM56" s="17">
        <f>AM39</f>
        <v/>
      </c>
      <c r="AN56" s="23">
        <f>AN39</f>
        <v/>
      </c>
      <c r="AO56" s="24">
        <f>AO39</f>
        <v/>
      </c>
    </row>
    <row r="57">
      <c r="AI57" s="17">
        <f>AI40</f>
        <v/>
      </c>
      <c r="AJ57" s="23">
        <f>AJ40</f>
        <v/>
      </c>
      <c r="AK57" s="24">
        <f>AK40</f>
        <v/>
      </c>
      <c r="AM57" s="17">
        <f>AM40</f>
        <v/>
      </c>
      <c r="AN57" s="23">
        <f>AN40</f>
        <v/>
      </c>
      <c r="AO57" s="24">
        <f>AO40</f>
        <v/>
      </c>
    </row>
    <row r="58">
      <c r="AI58" s="17">
        <f>AI41</f>
        <v/>
      </c>
      <c r="AJ58" s="23">
        <f>AJ41</f>
        <v/>
      </c>
      <c r="AK58" s="24">
        <f>AK41</f>
        <v/>
      </c>
      <c r="AM58" s="17">
        <f>AM41</f>
        <v/>
      </c>
      <c r="AN58" s="23">
        <f>AN41</f>
        <v/>
      </c>
      <c r="AO58" s="24">
        <f>AO41</f>
        <v/>
      </c>
    </row>
    <row r="59">
      <c r="AI59" s="17">
        <f>AI42</f>
        <v/>
      </c>
      <c r="AJ59" s="23">
        <f>AJ42</f>
        <v/>
      </c>
      <c r="AK59" s="24">
        <f>AK42</f>
        <v/>
      </c>
      <c r="AM59" s="17">
        <f>AM42</f>
        <v/>
      </c>
      <c r="AN59" s="23">
        <f>AN42</f>
        <v/>
      </c>
      <c r="AO59" s="24">
        <f>AO42</f>
        <v/>
      </c>
    </row>
    <row r="60">
      <c r="AI60" s="17">
        <f>AI43</f>
        <v/>
      </c>
      <c r="AJ60" s="23">
        <f>AJ43</f>
        <v/>
      </c>
      <c r="AK60" s="24">
        <f>AK43</f>
        <v/>
      </c>
      <c r="AM60" s="17">
        <f>AM43</f>
        <v/>
      </c>
      <c r="AN60" s="23">
        <f>AN43</f>
        <v/>
      </c>
      <c r="AO60" s="24">
        <f>AO43</f>
        <v/>
      </c>
    </row>
    <row r="61">
      <c r="AI61" s="17">
        <f>AI44</f>
        <v/>
      </c>
      <c r="AJ61" s="23">
        <f>AJ44</f>
        <v/>
      </c>
      <c r="AK61" s="24">
        <f>AK44</f>
        <v/>
      </c>
      <c r="AM61" s="17">
        <f>AM44</f>
        <v/>
      </c>
      <c r="AN61" s="23">
        <f>AN44</f>
        <v/>
      </c>
      <c r="AO61" s="24">
        <f>AO44</f>
        <v/>
      </c>
    </row>
    <row r="62">
      <c r="AI62" s="17">
        <f>AI45</f>
        <v/>
      </c>
      <c r="AJ62" s="23">
        <f>AJ45</f>
        <v/>
      </c>
      <c r="AK62" s="24">
        <f>AK45</f>
        <v/>
      </c>
      <c r="AM62" s="17">
        <f>AM45</f>
        <v/>
      </c>
      <c r="AN62" s="23">
        <f>AN45</f>
        <v/>
      </c>
      <c r="AO62" s="24">
        <f>AO45</f>
        <v/>
      </c>
    </row>
    <row r="63">
      <c r="AI63" s="17">
        <f>AI46</f>
        <v/>
      </c>
      <c r="AJ63" s="23">
        <f>AJ46</f>
        <v/>
      </c>
      <c r="AK63" s="24">
        <f>AK46</f>
        <v/>
      </c>
      <c r="AM63" s="17">
        <f>AM46</f>
        <v/>
      </c>
      <c r="AN63" s="23">
        <f>AN46</f>
        <v/>
      </c>
      <c r="AO63" s="24">
        <f>AO46</f>
        <v/>
      </c>
    </row>
    <row r="64">
      <c r="AI64" s="17">
        <f>AI47</f>
        <v/>
      </c>
      <c r="AJ64" s="23">
        <f>AJ47</f>
        <v/>
      </c>
      <c r="AK64" s="24">
        <f>AK47</f>
        <v/>
      </c>
      <c r="AM64" s="17">
        <f>AM47</f>
        <v/>
      </c>
      <c r="AN64" s="23">
        <f>AN47</f>
        <v/>
      </c>
      <c r="AO64" s="24">
        <f>AO47</f>
        <v/>
      </c>
    </row>
    <row r="65">
      <c r="AI65" s="17">
        <f>AI48</f>
        <v/>
      </c>
      <c r="AJ65" s="23">
        <f>AJ48</f>
        <v/>
      </c>
      <c r="AK65" s="24">
        <f>AK48</f>
        <v/>
      </c>
      <c r="AM65" s="17">
        <f>AM48</f>
        <v/>
      </c>
      <c r="AN65" s="23">
        <f>AN48</f>
        <v/>
      </c>
      <c r="AO65" s="24">
        <f>AO48</f>
        <v/>
      </c>
    </row>
    <row r="66">
      <c r="AI66" s="17">
        <f>AI49</f>
        <v/>
      </c>
      <c r="AJ66" s="23">
        <f>AJ49</f>
        <v/>
      </c>
      <c r="AK66" s="24">
        <f>AK49</f>
        <v/>
      </c>
      <c r="AM66" s="17">
        <f>AM49</f>
        <v/>
      </c>
      <c r="AN66" s="23">
        <f>AN49</f>
        <v/>
      </c>
      <c r="AO66" s="24">
        <f>AO49</f>
        <v/>
      </c>
    </row>
    <row r="67">
      <c r="AI67" s="17">
        <f>AI50</f>
        <v/>
      </c>
      <c r="AJ67" s="23">
        <f>AJ50</f>
        <v/>
      </c>
      <c r="AK67" s="24">
        <f>AK50</f>
        <v/>
      </c>
      <c r="AM67" s="17">
        <f>AM50</f>
        <v/>
      </c>
      <c r="AN67" s="23">
        <f>AN50</f>
        <v/>
      </c>
      <c r="AO67" s="24">
        <f>AO50</f>
        <v/>
      </c>
    </row>
    <row r="68" ht="15.75" customHeight="1" thickBot="1">
      <c r="AI68" s="18">
        <f>AI51</f>
        <v/>
      </c>
      <c r="AJ68" s="25">
        <f>AJ51</f>
        <v/>
      </c>
      <c r="AK68" s="26">
        <f>AK51</f>
        <v/>
      </c>
      <c r="AM68" s="18">
        <f>AM51</f>
        <v/>
      </c>
      <c r="AN68" s="25">
        <f>AN51</f>
        <v/>
      </c>
      <c r="AO68" s="26">
        <f>AO51</f>
        <v/>
      </c>
    </row>
  </sheetData>
  <pageMargins left="0.7" right="0.7" top="0.75" bottom="0.75" header="0.3" footer="0.3"/>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Z318"/>
  <sheetViews>
    <sheetView showGridLines="0" zoomScaleNormal="100" workbookViewId="0">
      <pane ySplit="1" topLeftCell="A17" activePane="bottomLeft" state="frozen"/>
      <selection pane="bottomLeft" activeCell="W20" sqref="W20"/>
      <selection activeCell="B1" sqref="B1"/>
    </sheetView>
  </sheetViews>
  <sheetFormatPr baseColWidth="8" defaultColWidth="9.140625" defaultRowHeight="18" customHeight="1"/>
  <cols>
    <col width="9.140625" customWidth="1" style="151" min="1" max="2"/>
    <col width="20.85546875" bestFit="1" customWidth="1" style="151" min="3" max="3"/>
    <col width="9.140625" customWidth="1" style="151" min="4" max="13"/>
    <col width="10.42578125" bestFit="1" customWidth="1" style="151" min="14" max="14"/>
    <col width="9.140625" customWidth="1" style="151" min="15" max="17"/>
    <col width="31" bestFit="1" customWidth="1" style="151" min="18" max="18"/>
    <col width="14.7109375" customWidth="1" style="65" min="19" max="20"/>
    <col width="10.7109375" customWidth="1" style="65" min="21" max="23"/>
    <col width="14.7109375" customWidth="1" style="65" min="24" max="27"/>
    <col width="14.7109375" customWidth="1" style="141" min="28" max="31"/>
    <col width="18.7109375" customWidth="1" style="81" min="32" max="32"/>
    <col width="9.140625" customWidth="1" style="151" min="33" max="33"/>
    <col width="24" bestFit="1" customWidth="1" style="151" min="34" max="34"/>
    <col width="33.42578125" bestFit="1" customWidth="1" style="65" min="35" max="35"/>
    <col width="24" bestFit="1" customWidth="1" style="65" min="36" max="36"/>
    <col width="10.28515625" bestFit="1" customWidth="1" style="151" min="37" max="37"/>
    <col width="24" bestFit="1" customWidth="1" style="151" min="38" max="38"/>
    <col width="14.85546875" bestFit="1" customWidth="1" style="151" min="39" max="39"/>
    <col width="17.5703125" bestFit="1" customWidth="1" style="151" min="40" max="40"/>
    <col width="9.140625" customWidth="1" style="151" min="41" max="42"/>
    <col width="24" bestFit="1" customWidth="1" style="151" min="43" max="43"/>
    <col width="30.5703125" bestFit="1" customWidth="1" style="151" min="44" max="44"/>
    <col width="30.28515625" bestFit="1" customWidth="1" style="151" min="45" max="45"/>
    <col width="9.140625" customWidth="1" style="151" min="46" max="16384"/>
  </cols>
  <sheetData>
    <row r="1" ht="33"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149" t="inlineStr">
        <is>
          <t>Row Labels</t>
        </is>
      </c>
      <c r="AI1" s="65" t="inlineStr">
        <is>
          <t>Sum of V2</t>
        </is>
      </c>
      <c r="AJ1" s="65" t="inlineStr">
        <is>
          <t>Sum of LT</t>
        </is>
      </c>
      <c r="AL1" s="149" t="inlineStr">
        <is>
          <t>Row Labels</t>
        </is>
      </c>
      <c r="AM1" s="143" t="inlineStr">
        <is>
          <t>Sum of Rework</t>
        </is>
      </c>
      <c r="AN1" s="143" t="inlineStr">
        <is>
          <t>Sum of QA Passed</t>
        </is>
      </c>
      <c r="AQ1" s="149" t="inlineStr">
        <is>
          <t>Row Labels</t>
        </is>
      </c>
      <c r="AR1" s="143" t="inlineStr">
        <is>
          <t>Sum of V2 Reopen Percentage</t>
        </is>
      </c>
      <c r="AS1" s="143" t="inlineStr">
        <is>
          <t>Sum of LT Reopen Percentage</t>
        </is>
      </c>
      <c r="AW1" s="234" t="n"/>
      <c r="AX1" s="235" t="n"/>
      <c r="AY1" s="236" t="n"/>
    </row>
    <row r="2" ht="18" customHeight="1">
      <c r="B2" s="314" t="inlineStr">
        <is>
          <t>PROJECT HEALTH DASHBOARD</t>
        </is>
      </c>
      <c r="C2" s="28" t="n"/>
      <c r="D2" s="28" t="n"/>
      <c r="E2" s="28" t="n"/>
      <c r="F2" s="28" t="n"/>
      <c r="G2" s="28" t="n"/>
      <c r="H2" s="28" t="n"/>
      <c r="I2" s="28" t="n"/>
      <c r="J2" s="28" t="n"/>
      <c r="K2" s="28" t="n"/>
      <c r="L2" s="28" t="n"/>
      <c r="M2" s="28" t="n"/>
      <c r="N2" s="28" t="n"/>
      <c r="O2" s="29" t="n"/>
      <c r="R2" s="169" t="inlineStr">
        <is>
          <t>2025 20: CAN 10/02 - 10/16</t>
        </is>
      </c>
      <c r="S2" s="64" t="n">
        <v>78</v>
      </c>
      <c r="T2" s="64">
        <f>S2-(Y2+Z2)</f>
        <v/>
      </c>
      <c r="U2" s="64" t="n">
        <v>9</v>
      </c>
      <c r="V2" s="64" t="n">
        <v>69</v>
      </c>
      <c r="W2" s="64" t="n">
        <v>0</v>
      </c>
      <c r="X2" s="64" t="n">
        <v>5</v>
      </c>
      <c r="Y2" s="64" t="n">
        <v>6</v>
      </c>
      <c r="Z2" s="64" t="n">
        <v>39</v>
      </c>
      <c r="AA2" s="193">
        <f>U2 - W2</f>
        <v/>
      </c>
      <c r="AB2" s="194">
        <f>IF(U2,W2/U2,0)</f>
        <v/>
      </c>
      <c r="AC2" s="194">
        <f>IF(V2,X2/V2,0)</f>
        <v/>
      </c>
      <c r="AD2" s="194">
        <f>IF(U2,Y2/U2,0)</f>
        <v/>
      </c>
      <c r="AE2" s="194">
        <f>IF(V2,Z2/V2,0)</f>
        <v/>
      </c>
      <c r="AF2" s="194">
        <f>IF(S2,T2/S2,0)</f>
        <v/>
      </c>
      <c r="AH2" s="151" t="inlineStr">
        <is>
          <t>2026 2: SLE 02/11 - 02/25</t>
        </is>
      </c>
      <c r="AI2" s="65" t="n">
        <v>5</v>
      </c>
      <c r="AJ2" s="65" t="n">
        <v>78</v>
      </c>
      <c r="AL2" s="151" t="inlineStr">
        <is>
          <t>2026 2: SLE 02/11 - 02/25</t>
        </is>
      </c>
      <c r="AM2" s="143" t="n">
        <v>0</v>
      </c>
      <c r="AN2" s="143" t="n">
        <v>5</v>
      </c>
      <c r="AQ2" s="151" t="inlineStr">
        <is>
          <t>2026 2: SLE 02/11 - 02/25</t>
        </is>
      </c>
      <c r="AR2" s="144" t="n">
        <v>0</v>
      </c>
      <c r="AS2" s="144" t="n">
        <v>0.07692307692307693</v>
      </c>
      <c r="AZ2" s="151" t="inlineStr">
        <is>
          <t>Green</t>
        </is>
      </c>
    </row>
    <row r="3" ht="18" customHeight="1">
      <c r="B3" s="17" t="n"/>
      <c r="O3" s="10" t="n"/>
      <c r="R3" s="169" t="inlineStr">
        <is>
          <t>2025 21: CAN 10/16 - 10/30</t>
        </is>
      </c>
      <c r="S3" s="64" t="n">
        <v>76</v>
      </c>
      <c r="T3" s="64">
        <f>S3-(Y3+Z3)</f>
        <v/>
      </c>
      <c r="U3" s="64" t="n">
        <v>12</v>
      </c>
      <c r="V3" s="64" t="n">
        <v>64</v>
      </c>
      <c r="W3" s="64" t="n">
        <v>0</v>
      </c>
      <c r="X3" s="64" t="n">
        <v>10</v>
      </c>
      <c r="Y3" s="64" t="n">
        <v>9</v>
      </c>
      <c r="Z3" s="64" t="n">
        <v>45</v>
      </c>
      <c r="AA3" s="193">
        <f>U3 - W3</f>
        <v/>
      </c>
      <c r="AB3" s="194">
        <f>IF(U3,W3/U3,0)</f>
        <v/>
      </c>
      <c r="AC3" s="194">
        <f>IF(V3,X3/V3,0)</f>
        <v/>
      </c>
      <c r="AD3" s="194">
        <f>IF(U3,Y3/U3,0)</f>
        <v/>
      </c>
      <c r="AE3" s="194">
        <f>IF(V3,Z3/V3,0)</f>
        <v/>
      </c>
      <c r="AF3" s="194">
        <f>IF(S3,T3/S3,0)</f>
        <v/>
      </c>
      <c r="AH3" s="151" t="inlineStr">
        <is>
          <t>2026 3: SLE 02/25 - 03/11</t>
        </is>
      </c>
      <c r="AI3" s="65" t="n">
        <v>12</v>
      </c>
      <c r="AJ3" s="65" t="n">
        <v>61</v>
      </c>
      <c r="AL3" s="151" t="inlineStr">
        <is>
          <t>2026 3: SLE 02/25 - 03/11</t>
        </is>
      </c>
      <c r="AM3" s="143" t="n">
        <v>0</v>
      </c>
      <c r="AN3" s="143" t="n">
        <v>12</v>
      </c>
      <c r="AQ3" s="151" t="inlineStr">
        <is>
          <t>2026 3: SLE 02/25 - 03/11</t>
        </is>
      </c>
      <c r="AR3" s="144" t="n">
        <v>0</v>
      </c>
      <c r="AS3" s="144" t="n">
        <v>0.08196721311475409</v>
      </c>
      <c r="AZ3" s="151" t="inlineStr">
        <is>
          <t>Red</t>
        </is>
      </c>
    </row>
    <row r="4" ht="18" customHeight="1">
      <c r="B4" s="17" t="n"/>
      <c r="O4" s="10" t="n"/>
      <c r="R4" s="169" t="inlineStr">
        <is>
          <t>2025 22: CAN 10/30 - 11/13</t>
        </is>
      </c>
      <c r="S4" s="64" t="n">
        <v>100</v>
      </c>
      <c r="T4" s="64">
        <f>S4-(Y4+Z4)</f>
        <v/>
      </c>
      <c r="U4" s="64" t="n">
        <v>17</v>
      </c>
      <c r="V4" s="64" t="n">
        <v>83</v>
      </c>
      <c r="W4" s="64" t="n">
        <v>0</v>
      </c>
      <c r="X4" s="64" t="n">
        <v>6</v>
      </c>
      <c r="Y4" s="64" t="n">
        <v>8</v>
      </c>
      <c r="Z4" s="64" t="n">
        <v>34</v>
      </c>
      <c r="AA4" s="193">
        <f>U4 - W4</f>
        <v/>
      </c>
      <c r="AB4" s="194">
        <f>IF(U4,W4/U4,0)</f>
        <v/>
      </c>
      <c r="AC4" s="194">
        <f>IF(V4,X4/V4,0)</f>
        <v/>
      </c>
      <c r="AD4" s="194">
        <f>IF(U4,Y4/U4,0)</f>
        <v/>
      </c>
      <c r="AE4" s="194">
        <f>IF(V4,Z4/V4,0)</f>
        <v/>
      </c>
      <c r="AF4" s="194">
        <f>IF(S4,T4/S4,0)</f>
        <v/>
      </c>
      <c r="AH4" s="151" t="inlineStr">
        <is>
          <t>2026 4: SLE 03/11 - 03/25</t>
        </is>
      </c>
      <c r="AI4" s="65" t="n">
        <v>14</v>
      </c>
      <c r="AJ4" s="65" t="n">
        <v>73</v>
      </c>
      <c r="AL4" s="151" t="inlineStr">
        <is>
          <t>2026 4: SLE 03/11 - 03/25</t>
        </is>
      </c>
      <c r="AM4" s="143" t="n">
        <v>0</v>
      </c>
      <c r="AN4" s="143" t="n">
        <v>14</v>
      </c>
      <c r="AQ4" s="151" t="inlineStr">
        <is>
          <t>2026 4: SLE 03/11 - 03/25</t>
        </is>
      </c>
      <c r="AR4" s="144" t="n">
        <v>0</v>
      </c>
      <c r="AS4" s="144" t="n">
        <v>0.0684931506849315</v>
      </c>
      <c r="AZ4" s="151" t="inlineStr">
        <is>
          <t>Amber</t>
        </is>
      </c>
    </row>
    <row r="5" ht="18" customHeight="1">
      <c r="B5" s="152" t="n"/>
      <c r="C5" s="153" t="n"/>
      <c r="D5" s="153" t="n"/>
      <c r="E5" s="153" t="n"/>
      <c r="F5" s="153" t="n"/>
      <c r="G5" s="153" t="n"/>
      <c r="H5" s="153" t="n"/>
      <c r="I5" s="153" t="n"/>
      <c r="J5" s="153" t="n"/>
      <c r="K5" s="153" t="n"/>
      <c r="L5" s="153" t="n"/>
      <c r="M5" s="153" t="n"/>
      <c r="N5" s="153" t="n"/>
      <c r="O5" s="154" t="n"/>
      <c r="R5" s="169" t="inlineStr">
        <is>
          <t>2025 23: CAN 11/13 - 12/04</t>
        </is>
      </c>
      <c r="S5" s="64" t="n">
        <v>74</v>
      </c>
      <c r="T5" s="64">
        <f>S5-(Y5+Z5)</f>
        <v/>
      </c>
      <c r="U5" s="64" t="n">
        <v>12</v>
      </c>
      <c r="V5" s="64" t="n">
        <v>62</v>
      </c>
      <c r="W5" s="64" t="n">
        <v>3</v>
      </c>
      <c r="X5" s="64" t="n">
        <v>6</v>
      </c>
      <c r="Y5" s="64" t="n">
        <v>7</v>
      </c>
      <c r="Z5" s="64" t="n">
        <v>22</v>
      </c>
      <c r="AA5" s="193">
        <f>U5 - W5</f>
        <v/>
      </c>
      <c r="AB5" s="194">
        <f>IF(U5,W5/U5,0)</f>
        <v/>
      </c>
      <c r="AC5" s="194">
        <f>IF(V5,X5/V5,0)</f>
        <v/>
      </c>
      <c r="AD5" s="194">
        <f>IF(U5,Y5/U5,0)</f>
        <v/>
      </c>
      <c r="AE5" s="194">
        <f>IF(V5,Z5/V5,0)</f>
        <v/>
      </c>
      <c r="AF5" s="194">
        <f>IF(S5,T5/S5,0)</f>
        <v/>
      </c>
      <c r="AH5" s="151" t="inlineStr">
        <is>
          <t>2026 5: SLE 03/25 - 04/08</t>
        </is>
      </c>
      <c r="AI5" s="65" t="n">
        <v>15</v>
      </c>
      <c r="AJ5" s="65" t="n">
        <v>76</v>
      </c>
      <c r="AL5" s="151" t="inlineStr">
        <is>
          <t>2026 5: SLE 03/25 - 04/08</t>
        </is>
      </c>
      <c r="AM5" s="143" t="n">
        <v>4</v>
      </c>
      <c r="AN5" s="143" t="n">
        <v>11</v>
      </c>
      <c r="AQ5" s="151" t="inlineStr">
        <is>
          <t>2026 5: SLE 03/25 - 04/08</t>
        </is>
      </c>
      <c r="AR5" s="144" t="n">
        <v>0.2666666666666667</v>
      </c>
      <c r="AS5" s="144" t="n">
        <v>0.07894736842105263</v>
      </c>
    </row>
    <row r="6" ht="18" customHeight="1">
      <c r="B6" s="85" t="n"/>
      <c r="C6" s="100" t="inlineStr">
        <is>
          <t>Project Name</t>
        </is>
      </c>
      <c r="D6" s="301" t="inlineStr">
        <is>
          <t>LendingTree</t>
        </is>
      </c>
      <c r="F6" s="224" t="n"/>
      <c r="G6" s="224" t="n"/>
      <c r="H6" s="310" t="n"/>
      <c r="I6" s="310" t="n"/>
      <c r="J6" s="88" t="n"/>
      <c r="K6" s="88" t="n"/>
      <c r="L6" s="307" t="inlineStr">
        <is>
          <t>Status Date</t>
        </is>
      </c>
      <c r="N6" s="221" t="n">
        <v>46174</v>
      </c>
      <c r="O6" s="93" t="n"/>
      <c r="R6" s="169" t="inlineStr">
        <is>
          <t>2025 24: CAN 12/04 - 12/18</t>
        </is>
      </c>
      <c r="S6" s="64" t="n">
        <v>92</v>
      </c>
      <c r="T6" s="64">
        <f>S6-(Y6+Z6)</f>
        <v/>
      </c>
      <c r="U6" s="64" t="n">
        <v>8</v>
      </c>
      <c r="V6" s="64" t="n">
        <v>84</v>
      </c>
      <c r="W6" s="64" t="n">
        <v>2</v>
      </c>
      <c r="X6" s="64" t="n">
        <v>18</v>
      </c>
      <c r="Y6" s="64" t="n">
        <v>3</v>
      </c>
      <c r="Z6" s="64" t="n">
        <v>15</v>
      </c>
      <c r="AA6" s="193">
        <f>U6 - W6</f>
        <v/>
      </c>
      <c r="AB6" s="194">
        <f>IF(U6,W6/U6,0)</f>
        <v/>
      </c>
      <c r="AC6" s="194">
        <f>IF(V6,X6/V6,0)</f>
        <v/>
      </c>
      <c r="AD6" s="194">
        <f>IF(U6,Y6/U6,0)</f>
        <v/>
      </c>
      <c r="AE6" s="194">
        <f>IF(V6,Z6/V6,0)</f>
        <v/>
      </c>
      <c r="AF6" s="194">
        <f>IF(S6,T6/S6,0)</f>
        <v/>
      </c>
      <c r="AH6" s="151" t="inlineStr">
        <is>
          <t>2026: SLE 04/08 - 04/30</t>
        </is>
      </c>
      <c r="AI6" s="65" t="n">
        <v>13</v>
      </c>
      <c r="AJ6" s="65" t="n">
        <v>58</v>
      </c>
      <c r="AL6" s="151" t="inlineStr">
        <is>
          <t>2026: SLE 04/08 - 04/30</t>
        </is>
      </c>
      <c r="AM6" s="143" t="n">
        <v>5</v>
      </c>
      <c r="AN6" s="143" t="n">
        <v>8</v>
      </c>
      <c r="AQ6" s="151" t="inlineStr">
        <is>
          <t>2026: SLE 04/08 - 04/30</t>
        </is>
      </c>
      <c r="AR6" s="144" t="n">
        <v>0.3846153846153846</v>
      </c>
      <c r="AS6" s="144" t="n">
        <v>0.3103448275862069</v>
      </c>
    </row>
    <row r="7" ht="18" customHeight="1">
      <c r="B7" s="85" t="n"/>
      <c r="C7" s="100" t="inlineStr">
        <is>
          <t>Sub Project</t>
        </is>
      </c>
      <c r="D7" s="301" t="inlineStr">
        <is>
          <t>SLE</t>
        </is>
      </c>
      <c r="F7" s="224" t="n"/>
      <c r="G7" s="224" t="n"/>
      <c r="H7" s="101" t="n"/>
      <c r="I7" s="101" t="n"/>
      <c r="J7" s="89" t="n"/>
      <c r="K7" s="89" t="n"/>
      <c r="L7" s="90" t="n"/>
      <c r="M7" s="90" t="n"/>
      <c r="N7" s="90" t="n"/>
      <c r="O7" s="93" t="n"/>
      <c r="R7" s="169" t="inlineStr">
        <is>
          <t>2025 25 CAN 12/18 - 01/08</t>
        </is>
      </c>
      <c r="S7" s="64" t="n">
        <v>54</v>
      </c>
      <c r="T7" s="64">
        <f>S7-(Y7+Z7)</f>
        <v/>
      </c>
      <c r="U7" s="64" t="n">
        <v>6</v>
      </c>
      <c r="V7" s="64" t="n">
        <v>48</v>
      </c>
      <c r="W7" s="64" t="n">
        <v>3</v>
      </c>
      <c r="X7" s="64" t="n">
        <v>4</v>
      </c>
      <c r="Y7" s="64" t="n">
        <v>6</v>
      </c>
      <c r="Z7" s="64" t="n">
        <v>32</v>
      </c>
      <c r="AA7" s="193">
        <f>U7 - W7</f>
        <v/>
      </c>
      <c r="AB7" s="194">
        <f>IF(U7,W7/U7,0)</f>
        <v/>
      </c>
      <c r="AC7" s="194">
        <f>IF(V7,X7/V7,0)</f>
        <v/>
      </c>
      <c r="AD7" s="194">
        <f>IF(U7,Y7/U7,0)</f>
        <v/>
      </c>
      <c r="AE7" s="194">
        <f>IF(V7,Z7/V7,0)</f>
        <v/>
      </c>
      <c r="AF7" s="194">
        <f>IF(S7,T7/S7,0)</f>
        <v/>
      </c>
      <c r="AH7" s="151" t="inlineStr">
        <is>
          <t>2026: SLE 05/01 - 05/31</t>
        </is>
      </c>
      <c r="AI7" s="65" t="n">
        <v>20</v>
      </c>
      <c r="AJ7" s="65" t="n">
        <v>116</v>
      </c>
      <c r="AL7" s="151" t="inlineStr">
        <is>
          <t>2026: SLE 05/01 - 05/31</t>
        </is>
      </c>
      <c r="AM7" s="143" t="n">
        <v>13</v>
      </c>
      <c r="AN7" s="143" t="n">
        <v>7</v>
      </c>
      <c r="AQ7" s="151" t="inlineStr">
        <is>
          <t>2026: SLE 05/01 - 05/31</t>
        </is>
      </c>
      <c r="AR7" s="144" t="n">
        <v>0.65</v>
      </c>
      <c r="AS7" s="144" t="n">
        <v>0.06896551724137931</v>
      </c>
    </row>
    <row r="8" ht="18" customHeight="1">
      <c r="B8" s="85" t="n"/>
      <c r="C8" s="100" t="inlineStr">
        <is>
          <t>Delivery Manager</t>
        </is>
      </c>
      <c r="D8" s="301" t="inlineStr">
        <is>
          <t>Rajesh</t>
        </is>
      </c>
      <c r="F8" s="224" t="n"/>
      <c r="G8" s="224" t="n"/>
      <c r="H8" s="87" t="n"/>
      <c r="I8" s="87" t="n"/>
      <c r="J8" s="87" t="n"/>
      <c r="K8" s="87" t="n"/>
      <c r="L8" s="307" t="inlineStr">
        <is>
          <t>Overall Status</t>
        </is>
      </c>
      <c r="N8" s="184" t="inlineStr">
        <is>
          <t>Green</t>
        </is>
      </c>
      <c r="O8" s="93" t="n"/>
      <c r="R8" s="169" t="inlineStr">
        <is>
          <t>2026  1 CAN 01/08 - 1/22</t>
        </is>
      </c>
      <c r="S8" s="64" t="n">
        <v>66</v>
      </c>
      <c r="T8" s="64">
        <f>S8-(Y8+Z8)</f>
        <v/>
      </c>
      <c r="U8" s="64" t="n">
        <v>7</v>
      </c>
      <c r="V8" s="64" t="n">
        <v>59</v>
      </c>
      <c r="W8" s="64" t="n">
        <v>3</v>
      </c>
      <c r="X8" s="64" t="n">
        <v>11</v>
      </c>
      <c r="Y8" s="64" t="n">
        <v>6</v>
      </c>
      <c r="Z8" s="64" t="n">
        <v>11</v>
      </c>
      <c r="AA8" s="193">
        <f>U8 - W8</f>
        <v/>
      </c>
      <c r="AB8" s="194">
        <f>IF(U8,W8/U8,0)</f>
        <v/>
      </c>
      <c r="AC8" s="194">
        <f>IF(V8,X8/V8,0)</f>
        <v/>
      </c>
      <c r="AD8" s="194">
        <f>IF(U8,Y8/U8,0)</f>
        <v/>
      </c>
      <c r="AE8" s="194">
        <f>IF(V8,Z8/V8,0)</f>
        <v/>
      </c>
      <c r="AF8" s="194">
        <f>IF(S8,T8/S8,0)</f>
        <v/>
      </c>
      <c r="AL8" s="151" t="inlineStr">
        <is>
          <t>Grand Total</t>
        </is>
      </c>
      <c r="AM8" s="143" t="n">
        <v>22</v>
      </c>
      <c r="AN8" s="143" t="n">
        <v>57</v>
      </c>
      <c r="AQ8" s="151" t="inlineStr">
        <is>
          <t>Grand Total</t>
        </is>
      </c>
      <c r="AR8" s="144" t="n">
        <v>1.301282051282051</v>
      </c>
      <c r="AS8" s="144" t="n">
        <v>0.6856411539714015</v>
      </c>
    </row>
    <row r="9" ht="18" customHeight="1">
      <c r="B9" s="85" t="n"/>
      <c r="C9" s="100" t="inlineStr">
        <is>
          <t>Project Manager/Lead</t>
        </is>
      </c>
      <c r="D9" s="301" t="inlineStr">
        <is>
          <t>Puspendu Bhushan</t>
        </is>
      </c>
      <c r="F9" s="310" t="n"/>
      <c r="G9" s="310" t="n"/>
      <c r="H9" s="87" t="n"/>
      <c r="I9" s="87" t="n"/>
      <c r="J9" s="87" t="n"/>
      <c r="K9" s="87" t="n"/>
      <c r="L9" s="87" t="n"/>
      <c r="M9" s="87" t="n"/>
      <c r="N9" s="87" t="n"/>
      <c r="O9" s="93" t="n"/>
      <c r="R9" s="170" t="inlineStr">
        <is>
          <t>2026 1 CAN 01/22 - 02/05</t>
        </is>
      </c>
      <c r="S9" s="74" t="n">
        <v>45</v>
      </c>
      <c r="T9" s="64">
        <f>S9-(Y9+Z9)</f>
        <v/>
      </c>
      <c r="U9" s="74" t="n">
        <v>6</v>
      </c>
      <c r="V9" s="74" t="n">
        <v>39</v>
      </c>
      <c r="W9" s="74" t="n">
        <v>3</v>
      </c>
      <c r="X9" s="74" t="n">
        <v>14</v>
      </c>
      <c r="Y9" s="64" t="n">
        <v>3</v>
      </c>
      <c r="Z9" s="64" t="n">
        <v>22</v>
      </c>
      <c r="AA9" s="193">
        <f>U9 - W9</f>
        <v/>
      </c>
      <c r="AB9" s="194">
        <f>IF(U9,W9/U9,0)</f>
        <v/>
      </c>
      <c r="AC9" s="194">
        <f>IF(V9,X9/V9,0)</f>
        <v/>
      </c>
      <c r="AD9" s="194">
        <f>IF(U9,Y9/U9,0)</f>
        <v/>
      </c>
      <c r="AE9" s="194">
        <f>IF(V9,Z9/V9,0)</f>
        <v/>
      </c>
      <c r="AF9" s="194">
        <f>IF(S9,T9/S9,0)</f>
        <v/>
      </c>
      <c r="AH9" s="143" t="n"/>
    </row>
    <row r="10" ht="18" customHeight="1" thickBot="1">
      <c r="B10" s="85" t="n"/>
      <c r="C10" s="100" t="inlineStr">
        <is>
          <t>Client POC</t>
        </is>
      </c>
      <c r="D10" s="310" t="inlineStr">
        <is>
          <t>Sushanth Kancharla</t>
        </is>
      </c>
      <c r="E10" s="310" t="n"/>
      <c r="F10" s="310" t="n"/>
      <c r="G10" s="310" t="n"/>
      <c r="H10" s="87" t="n"/>
      <c r="I10" s="87" t="n"/>
      <c r="J10" s="87" t="n"/>
      <c r="K10" s="87" t="n"/>
      <c r="L10" s="87" t="n"/>
      <c r="M10" s="87" t="n"/>
      <c r="N10" s="87" t="n"/>
      <c r="O10" s="93" t="n"/>
      <c r="R10" s="169" t="inlineStr">
        <is>
          <t>2026 0: SLE 01/14 - 1/28</t>
        </is>
      </c>
      <c r="S10" s="64" t="n">
        <v>59</v>
      </c>
      <c r="T10" s="64">
        <f>S10-(Y10+Z10)</f>
        <v/>
      </c>
      <c r="U10" s="64" t="n">
        <v>8</v>
      </c>
      <c r="V10" s="64" t="n">
        <v>51</v>
      </c>
      <c r="W10" s="64" t="n">
        <v>0</v>
      </c>
      <c r="X10" s="64" t="n">
        <v>5</v>
      </c>
      <c r="Y10" s="64" t="n">
        <v>3</v>
      </c>
      <c r="Z10" s="64" t="n">
        <v>27</v>
      </c>
      <c r="AA10" s="193">
        <f>U10 - W10</f>
        <v/>
      </c>
      <c r="AB10" s="194">
        <f>IF(U10,W10/U10,0)</f>
        <v/>
      </c>
      <c r="AC10" s="194">
        <f>IF(V10,X10/V10,0)</f>
        <v/>
      </c>
      <c r="AD10" s="194">
        <f>IF(U10,Y10/U10,0)</f>
        <v/>
      </c>
      <c r="AE10" s="194">
        <f>IF(V10,Z10/V10,0)</f>
        <v/>
      </c>
      <c r="AF10" s="194">
        <f>IF(S10,T10/S10,0)</f>
        <v/>
      </c>
      <c r="AM10" s="143" t="n"/>
      <c r="AN10" s="143" t="n"/>
      <c r="AR10" s="143" t="n"/>
      <c r="AS10" s="143" t="n"/>
    </row>
    <row r="11" ht="18" customHeight="1">
      <c r="B11" s="85" t="n"/>
      <c r="C11" s="100" t="inlineStr">
        <is>
          <t>Client Feedback</t>
        </is>
      </c>
      <c r="D11" s="310" t="inlineStr">
        <is>
          <t>-</t>
        </is>
      </c>
      <c r="H11" s="87" t="n"/>
      <c r="I11" s="87" t="n"/>
      <c r="J11" s="90" t="n"/>
      <c r="K11" s="90" t="n"/>
      <c r="L11" s="90" t="n"/>
      <c r="M11" s="90" t="n"/>
      <c r="N11" s="90" t="n"/>
      <c r="O11" s="93" t="n"/>
      <c r="R11" s="170" t="inlineStr">
        <is>
          <t>2026 1: SLE 01/28 - 02/11</t>
        </is>
      </c>
      <c r="S11" s="64" t="n">
        <v>88</v>
      </c>
      <c r="T11" s="64">
        <f>S11-(Y11+Z11)</f>
        <v/>
      </c>
      <c r="U11" s="64" t="n">
        <v>8</v>
      </c>
      <c r="V11" s="64" t="n">
        <v>80</v>
      </c>
      <c r="W11" s="64" t="n">
        <v>0</v>
      </c>
      <c r="X11" s="64" t="n">
        <v>0</v>
      </c>
      <c r="Y11" s="64" t="n">
        <v>5</v>
      </c>
      <c r="Z11" s="64" t="n">
        <v>38</v>
      </c>
      <c r="AA11" s="193">
        <f>U11 - W11</f>
        <v/>
      </c>
      <c r="AB11" s="194">
        <f>IF(U11,W11/U11,0)</f>
        <v/>
      </c>
      <c r="AC11" s="194">
        <f>IF(V11,X11/V11,0)</f>
        <v/>
      </c>
      <c r="AD11" s="194">
        <f>IF(U11,Y11/U11,0)</f>
        <v/>
      </c>
      <c r="AE11" s="194">
        <f>IF(V11,Z11/V11,0)</f>
        <v/>
      </c>
      <c r="AF11" s="194">
        <f>IF(S11,T11/S11,0)</f>
        <v/>
      </c>
      <c r="AH11" s="167" t="inlineStr">
        <is>
          <t>Sprint</t>
        </is>
      </c>
      <c r="AI11" s="83" t="inlineStr">
        <is>
          <t>V2</t>
        </is>
      </c>
      <c r="AJ11" s="83" t="inlineStr">
        <is>
          <t>LT</t>
        </is>
      </c>
      <c r="AL11" s="166" t="inlineStr">
        <is>
          <t>QA Passed</t>
        </is>
      </c>
      <c r="AM11" s="165">
        <f>GETPIVOTDATA("Sum of QA Passed",$AL$1)</f>
        <v/>
      </c>
      <c r="AN11" s="143" t="n"/>
      <c r="AQ11" s="156" t="inlineStr">
        <is>
          <t>Sprint</t>
        </is>
      </c>
      <c r="AR11" s="83" t="inlineStr">
        <is>
          <t>V2</t>
        </is>
      </c>
      <c r="AS11" s="83" t="inlineStr">
        <is>
          <t>LT</t>
        </is>
      </c>
    </row>
    <row r="12" ht="18" customHeight="1">
      <c r="B12" s="85" t="n"/>
      <c r="C12" s="100" t="inlineStr">
        <is>
          <t>Team Allocation</t>
        </is>
      </c>
      <c r="D12" s="91" t="n"/>
      <c r="E12" s="91" t="n"/>
      <c r="F12" s="91" t="n"/>
      <c r="G12" s="91" t="n"/>
      <c r="H12" s="87" t="n"/>
      <c r="I12" s="87" t="n"/>
      <c r="J12" s="90" t="n"/>
      <c r="K12" s="90" t="n"/>
      <c r="L12" s="90" t="n"/>
      <c r="M12" s="90" t="n"/>
      <c r="N12" s="90" t="n"/>
      <c r="O12" s="93" t="n"/>
      <c r="R12" s="169" t="inlineStr">
        <is>
          <t>2026 2: SLE 02/11 - 02/25</t>
        </is>
      </c>
      <c r="S12" s="267" t="n">
        <v>83</v>
      </c>
      <c r="T12" s="64">
        <f>S12-(Y12+Z12)</f>
        <v/>
      </c>
      <c r="U12" s="64" t="n">
        <v>5</v>
      </c>
      <c r="V12" s="64" t="n">
        <v>78</v>
      </c>
      <c r="W12" s="64" t="n">
        <v>0</v>
      </c>
      <c r="X12" s="64" t="n">
        <v>6</v>
      </c>
      <c r="Y12" s="64" t="n">
        <v>5</v>
      </c>
      <c r="Z12" s="64" t="n">
        <v>27</v>
      </c>
      <c r="AA12" s="193">
        <f>U12 - W12</f>
        <v/>
      </c>
      <c r="AB12" s="194">
        <f>IF(U12,W12/U12,0)</f>
        <v/>
      </c>
      <c r="AC12" s="194">
        <f>IF(V12,X12/V12,0)</f>
        <v/>
      </c>
      <c r="AD12" s="194">
        <f>IF(U12,Y12/U12,0)</f>
        <v/>
      </c>
      <c r="AE12" s="194">
        <f>IF(V12,Z12/V12,0)</f>
        <v/>
      </c>
      <c r="AF12" s="194">
        <f>IF(S12,T12/S12,0)</f>
        <v/>
      </c>
      <c r="AH12" s="166">
        <f>AH2</f>
        <v/>
      </c>
      <c r="AI12" s="81">
        <f>AI2</f>
        <v/>
      </c>
      <c r="AJ12" s="81">
        <f>AJ2</f>
        <v/>
      </c>
      <c r="AL12" s="166" t="inlineStr">
        <is>
          <t>Rework</t>
        </is>
      </c>
      <c r="AM12" s="165">
        <f>GETPIVOTDATA("Sum of Rework",$AL$1)</f>
        <v/>
      </c>
      <c r="AN12" s="143" t="n"/>
      <c r="AQ12" s="163">
        <f>AQ2</f>
        <v/>
      </c>
      <c r="AR12" s="144">
        <f>AR2</f>
        <v/>
      </c>
      <c r="AS12" s="145">
        <f>AS2</f>
        <v/>
      </c>
    </row>
    <row r="13" ht="18" customHeight="1">
      <c r="B13" s="85" t="n"/>
      <c r="C13" s="241" t="inlineStr">
        <is>
          <t>Off-shore team</t>
        </is>
      </c>
      <c r="D13" s="303" t="inlineStr">
        <is>
          <t>Allocated</t>
        </is>
      </c>
      <c r="E13" s="315" t="n"/>
      <c r="F13" s="239" t="n">
        <v>2</v>
      </c>
      <c r="G13" s="303" t="inlineStr">
        <is>
          <t>Billable</t>
        </is>
      </c>
      <c r="H13" s="315" t="n"/>
      <c r="I13" s="239" t="n">
        <v>2</v>
      </c>
      <c r="J13" s="90" t="n"/>
      <c r="K13" s="90" t="n"/>
      <c r="L13" s="90" t="n"/>
      <c r="M13" s="90" t="n"/>
      <c r="N13" s="90" t="n"/>
      <c r="O13" s="93" t="n"/>
      <c r="R13" s="151" t="inlineStr">
        <is>
          <t>2026 3: SLE 02/25 - 03/11</t>
        </is>
      </c>
      <c r="S13" s="193" t="n">
        <v>73</v>
      </c>
      <c r="T13" s="64">
        <f>S13-(Y13+Z13)</f>
        <v/>
      </c>
      <c r="U13" s="193" t="n">
        <v>12</v>
      </c>
      <c r="V13" s="193" t="n">
        <v>61</v>
      </c>
      <c r="W13" s="193" t="n">
        <v>0</v>
      </c>
      <c r="X13" s="193" t="n">
        <v>5</v>
      </c>
      <c r="Y13" s="64" t="n">
        <v>7</v>
      </c>
      <c r="Z13" s="64" t="n">
        <v>28</v>
      </c>
      <c r="AA13" s="193">
        <f>U13 - W13</f>
        <v/>
      </c>
      <c r="AB13" s="194">
        <f>IF(U13,W13/U13,0)</f>
        <v/>
      </c>
      <c r="AC13" s="194">
        <f>IF(V13,X13/V13,0)</f>
        <v/>
      </c>
      <c r="AD13" s="194">
        <f>IF(U13,Y13/U13,0)</f>
        <v/>
      </c>
      <c r="AE13" s="194">
        <f>IF(V13,Z13/V13,0)</f>
        <v/>
      </c>
      <c r="AF13" s="194">
        <f>IF(S13,T13/S13,0)</f>
        <v/>
      </c>
      <c r="AH13" s="166">
        <f>AH3</f>
        <v/>
      </c>
      <c r="AI13" s="81">
        <f>AI3</f>
        <v/>
      </c>
      <c r="AJ13" s="81">
        <f>AJ3</f>
        <v/>
      </c>
      <c r="AM13" s="143" t="n"/>
      <c r="AN13" s="143" t="n"/>
      <c r="AQ13" s="163">
        <f>AQ3</f>
        <v/>
      </c>
      <c r="AR13" s="144">
        <f>AR3</f>
        <v/>
      </c>
      <c r="AS13" s="145">
        <f>AS3</f>
        <v/>
      </c>
    </row>
    <row r="14" ht="18" customHeight="1">
      <c r="B14" s="152" t="n"/>
      <c r="C14" s="241" t="inlineStr">
        <is>
          <t>On-site team</t>
        </is>
      </c>
      <c r="D14" s="303" t="inlineStr">
        <is>
          <t>Allocated</t>
        </is>
      </c>
      <c r="E14" s="315" t="n"/>
      <c r="F14" s="239" t="n">
        <v>6</v>
      </c>
      <c r="G14" s="240" t="n"/>
      <c r="H14" s="240" t="n"/>
      <c r="I14" s="240" t="n"/>
      <c r="J14" s="153" t="n"/>
      <c r="K14" s="153" t="n"/>
      <c r="L14" s="153" t="n"/>
      <c r="M14" s="153" t="n"/>
      <c r="N14" s="153" t="n"/>
      <c r="O14" s="154" t="n"/>
      <c r="R14" s="265" t="inlineStr">
        <is>
          <t>2026 4: SLE 03/11 - 03/25</t>
        </is>
      </c>
      <c r="S14" s="193" t="n">
        <v>87</v>
      </c>
      <c r="T14" s="64">
        <f>S14-(Y14+Z14)</f>
        <v/>
      </c>
      <c r="U14" s="193" t="n">
        <v>14</v>
      </c>
      <c r="V14" s="193" t="n">
        <v>73</v>
      </c>
      <c r="W14" s="193" t="n">
        <v>0</v>
      </c>
      <c r="X14" s="193" t="n">
        <v>5</v>
      </c>
      <c r="Y14" s="193" t="n">
        <v>9</v>
      </c>
      <c r="Z14" s="193" t="n">
        <v>22</v>
      </c>
      <c r="AA14" s="193">
        <f>U14 - W14</f>
        <v/>
      </c>
      <c r="AB14" s="194">
        <f>IF(U14,W14/U14,0)</f>
        <v/>
      </c>
      <c r="AC14" s="194">
        <f>IF(V14,X14/V14,0)</f>
        <v/>
      </c>
      <c r="AD14" s="194">
        <f>IF(U14,Y14/U14,0)</f>
        <v/>
      </c>
      <c r="AE14" s="194">
        <f>IF(V14,Z14/V14,0)</f>
        <v/>
      </c>
      <c r="AF14" s="194">
        <f>IF(S14,T14/S14,0)</f>
        <v/>
      </c>
      <c r="AH14" s="166">
        <f>AH4</f>
        <v/>
      </c>
      <c r="AI14" s="81">
        <f>AI4</f>
        <v/>
      </c>
      <c r="AJ14" s="81">
        <f>AJ4</f>
        <v/>
      </c>
      <c r="AQ14" s="163">
        <f>AQ4</f>
        <v/>
      </c>
      <c r="AR14" s="144">
        <f>AR4</f>
        <v/>
      </c>
      <c r="AS14" s="145">
        <f>AS4</f>
        <v/>
      </c>
    </row>
    <row r="15" ht="18" customHeight="1" thickBot="1">
      <c r="B15" s="157" t="n"/>
      <c r="C15" s="158" t="n"/>
      <c r="D15" s="159" t="n"/>
      <c r="E15" s="159" t="n"/>
      <c r="F15" s="159" t="n"/>
      <c r="G15" s="159" t="n"/>
      <c r="H15" s="159" t="n"/>
      <c r="I15" s="159" t="n"/>
      <c r="J15" s="159" t="n"/>
      <c r="K15" s="159" t="n"/>
      <c r="L15" s="159" t="n"/>
      <c r="M15" s="159" t="n"/>
      <c r="N15" s="160" t="n"/>
      <c r="O15" s="161" t="n"/>
      <c r="R15" s="265" t="inlineStr">
        <is>
          <t>2026 5: SLE 03/25 - 04/08</t>
        </is>
      </c>
      <c r="S15" s="193" t="n">
        <v>91</v>
      </c>
      <c r="T15" s="64">
        <f>S15-(Y15+Z15)</f>
        <v/>
      </c>
      <c r="U15" s="193" t="n">
        <v>15</v>
      </c>
      <c r="V15" s="193" t="n">
        <v>76</v>
      </c>
      <c r="W15" s="193" t="n">
        <v>4</v>
      </c>
      <c r="X15" s="193" t="n">
        <v>6</v>
      </c>
      <c r="Y15" s="193" t="n">
        <v>11</v>
      </c>
      <c r="Z15" s="193" t="n">
        <v>28</v>
      </c>
      <c r="AA15" s="193">
        <f>U15 - W15</f>
        <v/>
      </c>
      <c r="AB15" s="194">
        <f>IF(U15,W15/U15,0)</f>
        <v/>
      </c>
      <c r="AC15" s="194">
        <f>IF(V15,X15/V15,0)</f>
        <v/>
      </c>
      <c r="AD15" s="194">
        <f>IF(U15,Y15/U15,0)</f>
        <v/>
      </c>
      <c r="AE15" s="194">
        <f>IF(V15,Z15/V15,0)</f>
        <v/>
      </c>
      <c r="AF15" s="194">
        <f>IF(S15,T15/S15,0)</f>
        <v/>
      </c>
      <c r="AH15" s="166">
        <f>AH5</f>
        <v/>
      </c>
      <c r="AI15" s="81">
        <f>AI5</f>
        <v/>
      </c>
      <c r="AJ15" s="81">
        <f>AJ5</f>
        <v/>
      </c>
      <c r="AQ15" s="163">
        <f>AQ5</f>
        <v/>
      </c>
      <c r="AR15" s="144">
        <f>AR5</f>
        <v/>
      </c>
      <c r="AS15" s="145">
        <f>AS5</f>
        <v/>
      </c>
    </row>
    <row r="16" ht="18" customHeight="1">
      <c r="R16" s="265" t="inlineStr">
        <is>
          <t>2026: SLE 04/08 - 04/30</t>
        </is>
      </c>
      <c r="S16" s="193" t="n">
        <v>71</v>
      </c>
      <c r="T16" s="64">
        <f>S16-(Y16+Z16)</f>
        <v/>
      </c>
      <c r="U16" s="193" t="n">
        <v>13</v>
      </c>
      <c r="V16" s="193" t="n">
        <v>58</v>
      </c>
      <c r="W16" s="193" t="n">
        <v>5</v>
      </c>
      <c r="X16" s="193" t="n">
        <v>18</v>
      </c>
      <c r="Y16" s="193" t="n">
        <v>0</v>
      </c>
      <c r="Z16" s="193" t="n">
        <v>0</v>
      </c>
      <c r="AA16" s="193">
        <f>U16 - W16</f>
        <v/>
      </c>
      <c r="AB16" s="194">
        <f>IF(U16,W16/U16,0)</f>
        <v/>
      </c>
      <c r="AC16" s="194">
        <f>IF(V16,X16/V16,0)</f>
        <v/>
      </c>
      <c r="AD16" s="194">
        <f>IF(U16,Y16/U16,0)</f>
        <v/>
      </c>
      <c r="AE16" s="194">
        <f>IF(V16,Z16/V16,0)</f>
        <v/>
      </c>
      <c r="AF16" s="194">
        <f>IF(S16,T16/S16,0)</f>
        <v/>
      </c>
      <c r="AH16" s="166">
        <f>AH6</f>
        <v/>
      </c>
      <c r="AI16" s="81">
        <f>AI6</f>
        <v/>
      </c>
      <c r="AJ16" s="81">
        <f>AJ6</f>
        <v/>
      </c>
      <c r="AQ16" s="163">
        <f>AQ6</f>
        <v/>
      </c>
      <c r="AR16" s="144">
        <f>AR6</f>
        <v/>
      </c>
      <c r="AS16" s="145">
        <f>AS6</f>
        <v/>
      </c>
    </row>
    <row r="17" ht="18" customHeight="1">
      <c r="R17" s="266" t="inlineStr">
        <is>
          <t>2026: SLE 05/01 - 05/31</t>
        </is>
      </c>
      <c r="S17" s="193" t="n">
        <v>137</v>
      </c>
      <c r="T17" s="64">
        <f>S17-(Y17+Z17)</f>
        <v/>
      </c>
      <c r="U17" s="193" t="n">
        <v>20</v>
      </c>
      <c r="V17" s="193" t="n">
        <v>117</v>
      </c>
      <c r="W17" s="193" t="n">
        <v>13</v>
      </c>
      <c r="X17" s="193" t="n">
        <v>8</v>
      </c>
      <c r="Y17" s="193" t="n">
        <v>0</v>
      </c>
      <c r="Z17" s="193" t="n">
        <v>0</v>
      </c>
      <c r="AA17" s="193">
        <f>U17 - W17</f>
        <v/>
      </c>
      <c r="AB17" s="194">
        <f>IF(U17,W17/U17,0)</f>
        <v/>
      </c>
      <c r="AC17" s="194">
        <f>IF(V17,X17/V17,0)</f>
        <v/>
      </c>
      <c r="AD17" s="194">
        <f>IF(U17,Y17/U17,0)</f>
        <v/>
      </c>
      <c r="AE17" s="194">
        <f>IF(V17,Z17/V17,0)</f>
        <v/>
      </c>
      <c r="AF17" s="194">
        <f>IF(S17,T17/S17,0)</f>
        <v/>
      </c>
      <c r="AH17" s="166">
        <f>AH7</f>
        <v/>
      </c>
      <c r="AI17" s="81">
        <f>AI7</f>
        <v/>
      </c>
      <c r="AJ17" s="81">
        <f>AJ7</f>
        <v/>
      </c>
      <c r="AQ17" s="163">
        <f>AQ7</f>
        <v/>
      </c>
      <c r="AR17" s="144">
        <f>AR7</f>
        <v/>
      </c>
      <c r="AS17" s="145">
        <f>AS7</f>
        <v/>
      </c>
    </row>
    <row r="18" ht="18" customHeight="1" thickBot="1">
      <c r="R18" s="265" t="n"/>
      <c r="S18" s="193" t="n"/>
      <c r="T18" s="64" t="n"/>
      <c r="U18" s="193" t="n"/>
      <c r="V18" s="193" t="n"/>
      <c r="W18" s="193" t="n"/>
      <c r="X18" s="193" t="n"/>
      <c r="Y18" s="193" t="n"/>
      <c r="Z18" s="193" t="n"/>
      <c r="AA18" s="193" t="n"/>
      <c r="AB18" s="194" t="n"/>
      <c r="AC18" s="194" t="n"/>
      <c r="AD18" s="194" t="n"/>
      <c r="AE18" s="194" t="n"/>
      <c r="AF18" s="194" t="n"/>
      <c r="AH18" s="166" t="n"/>
      <c r="AI18" s="81" t="n"/>
      <c r="AJ18" s="81" t="n"/>
      <c r="AQ18" s="164">
        <f>AQ8</f>
        <v/>
      </c>
      <c r="AR18" s="146">
        <f>AR8</f>
        <v/>
      </c>
      <c r="AS18" s="147">
        <f>AS8</f>
        <v/>
      </c>
    </row>
    <row r="19" ht="18" customHeight="1">
      <c r="R19" s="265" t="n"/>
      <c r="S19" s="193" t="n"/>
      <c r="T19" s="64" t="n"/>
      <c r="U19" s="193" t="n"/>
      <c r="V19" s="193" t="n"/>
      <c r="W19" s="193" t="n"/>
      <c r="X19" s="193" t="n"/>
      <c r="Y19" s="193" t="n"/>
      <c r="Z19" s="193" t="n"/>
      <c r="AA19" s="193" t="n"/>
      <c r="AB19" s="194" t="n"/>
      <c r="AC19" s="194" t="n"/>
      <c r="AD19" s="194" t="n"/>
      <c r="AE19" s="194" t="n"/>
      <c r="AF19" s="194" t="n"/>
    </row>
    <row r="20" ht="18" customHeight="1">
      <c r="R20" s="168" t="n"/>
      <c r="S20" s="193" t="n"/>
      <c r="T20" s="64" t="n"/>
      <c r="U20" s="193" t="n"/>
      <c r="V20" s="193" t="n"/>
      <c r="W20" s="193" t="n"/>
      <c r="X20" s="193" t="n"/>
      <c r="Y20" s="193" t="n"/>
      <c r="Z20" s="193" t="n"/>
      <c r="AA20" s="193" t="n"/>
      <c r="AB20" s="194" t="n"/>
      <c r="AC20" s="194" t="n"/>
      <c r="AD20" s="194" t="n"/>
      <c r="AE20" s="194" t="n"/>
      <c r="AF20" s="194" t="n"/>
    </row>
    <row r="21" ht="18" customHeight="1">
      <c r="R21" s="168" t="n"/>
      <c r="S21" s="64" t="n"/>
      <c r="T21" s="64" t="n"/>
      <c r="U21" s="64" t="n"/>
      <c r="V21" s="64" t="n"/>
      <c r="W21" s="64" t="n"/>
      <c r="X21" s="64" t="n"/>
      <c r="Y21" s="64" t="n"/>
      <c r="Z21" s="64" t="n"/>
      <c r="AA21" s="193" t="n"/>
      <c r="AB21" s="194" t="n"/>
      <c r="AC21" s="194" t="n"/>
      <c r="AD21" s="194" t="n"/>
      <c r="AE21" s="194" t="n"/>
      <c r="AF21" s="194" t="n"/>
      <c r="AQ21" s="149" t="inlineStr">
        <is>
          <t>Row Labels</t>
        </is>
      </c>
      <c r="AR21" s="143" t="inlineStr">
        <is>
          <t>Sum of V2 Carryover Percentage</t>
        </is>
      </c>
      <c r="AS21" s="143" t="inlineStr">
        <is>
          <t>Sum of LT Carryover Percentage</t>
        </is>
      </c>
    </row>
    <row r="22" ht="18" customHeight="1">
      <c r="R22" s="268" t="n"/>
      <c r="S22" s="74" t="n"/>
      <c r="T22" s="64" t="n"/>
      <c r="U22" s="74" t="n"/>
      <c r="V22" s="74" t="n"/>
      <c r="W22" s="74" t="n"/>
      <c r="X22" s="74" t="n"/>
      <c r="Y22" s="74" t="n"/>
      <c r="Z22" s="74" t="n"/>
      <c r="AA22" s="193" t="n"/>
      <c r="AB22" s="194" t="n"/>
      <c r="AC22" s="194" t="n"/>
      <c r="AD22" s="194" t="n"/>
      <c r="AE22" s="194" t="n"/>
      <c r="AF22" s="194" t="n"/>
      <c r="AH22" s="149" t="inlineStr">
        <is>
          <t>Row Labels</t>
        </is>
      </c>
      <c r="AI22" s="65" t="inlineStr">
        <is>
          <t>Sum of Planned Vs Completed ratio</t>
        </is>
      </c>
      <c r="AQ22" s="151" t="inlineStr">
        <is>
          <t>2026 2: SLE 02/11 - 02/25</t>
        </is>
      </c>
      <c r="AR22" s="143" t="n">
        <v>1</v>
      </c>
      <c r="AS22" s="143" t="n">
        <v>0.3461538461538461</v>
      </c>
    </row>
    <row r="23" ht="18" customHeight="1">
      <c r="R23" s="169" t="n"/>
      <c r="S23" s="64" t="n"/>
      <c r="T23" s="64" t="n"/>
      <c r="U23" s="64" t="n"/>
      <c r="V23" s="64" t="n"/>
      <c r="W23" s="64" t="n"/>
      <c r="X23" s="64" t="n"/>
      <c r="Y23" s="123" t="n"/>
      <c r="Z23" s="64" t="n"/>
      <c r="AA23" s="193" t="n"/>
      <c r="AB23" s="194" t="n"/>
      <c r="AC23" s="194" t="n"/>
      <c r="AD23" s="194" t="n"/>
      <c r="AE23" s="194" t="n"/>
      <c r="AF23" s="194" t="n"/>
      <c r="AH23" s="151" t="inlineStr">
        <is>
          <t>2026 2: SLE 02/11 - 02/25</t>
        </is>
      </c>
      <c r="AI23" s="65" t="n">
        <v>0.6144578313253012</v>
      </c>
      <c r="AQ23" s="151" t="inlineStr">
        <is>
          <t>2026 3: SLE 02/25 - 03/11</t>
        </is>
      </c>
      <c r="AR23" s="143" t="n">
        <v>0.5833333333333334</v>
      </c>
      <c r="AS23" s="143" t="n">
        <v>0.459016393442623</v>
      </c>
    </row>
    <row r="24" ht="18" customHeight="1">
      <c r="R24" s="169" t="n"/>
      <c r="S24" s="74" t="n"/>
      <c r="T24" s="64" t="n"/>
      <c r="U24" s="74" t="n"/>
      <c r="V24" s="74" t="n"/>
      <c r="W24" s="74" t="n"/>
      <c r="X24" s="74" t="n"/>
      <c r="Y24" s="171" t="n"/>
      <c r="Z24" s="74" t="n"/>
      <c r="AA24" s="193" t="n"/>
      <c r="AB24" s="194" t="n"/>
      <c r="AC24" s="194" t="n"/>
      <c r="AD24" s="194" t="n"/>
      <c r="AE24" s="194" t="n"/>
      <c r="AF24" s="194" t="n"/>
      <c r="AH24" s="151" t="inlineStr">
        <is>
          <t>2026 3: SLE 02/25 - 03/11</t>
        </is>
      </c>
      <c r="AI24" s="65" t="n">
        <v>0.5205479452054794</v>
      </c>
      <c r="AQ24" s="151" t="inlineStr">
        <is>
          <t>2026 4: SLE 03/11 - 03/25</t>
        </is>
      </c>
      <c r="AR24" s="143" t="n">
        <v>0.6428571428571429</v>
      </c>
      <c r="AS24" s="143" t="n">
        <v>0.3013698630136986</v>
      </c>
    </row>
    <row r="25" ht="18" customHeight="1">
      <c r="R25" s="170" t="n"/>
      <c r="S25" s="74" t="n"/>
      <c r="T25" s="64" t="n"/>
      <c r="U25" s="74" t="n"/>
      <c r="V25" s="74" t="n"/>
      <c r="W25" s="74" t="n"/>
      <c r="X25" s="74" t="n"/>
      <c r="Y25" s="74" t="n"/>
      <c r="Z25" s="74" t="n"/>
      <c r="AA25" s="193" t="n"/>
      <c r="AB25" s="194" t="n"/>
      <c r="AC25" s="194" t="n"/>
      <c r="AD25" s="194" t="n"/>
      <c r="AE25" s="194" t="n"/>
      <c r="AF25" s="194" t="n"/>
      <c r="AH25" s="151" t="inlineStr">
        <is>
          <t>2026 4: SLE 03/11 - 03/25</t>
        </is>
      </c>
      <c r="AI25" s="65" t="n">
        <v>0.6436781609195402</v>
      </c>
      <c r="AQ25" s="151" t="inlineStr">
        <is>
          <t>2026 5: SLE 03/25 - 04/08</t>
        </is>
      </c>
      <c r="AR25" s="143" t="n">
        <v>0.7333333333333333</v>
      </c>
      <c r="AS25" s="143" t="n">
        <v>0.3684210526315789</v>
      </c>
    </row>
    <row r="26" ht="18" customHeight="1">
      <c r="R26" s="170" t="n"/>
      <c r="S26" s="64" t="n"/>
      <c r="T26" s="64" t="n"/>
      <c r="U26" s="64" t="n"/>
      <c r="V26" s="64" t="n"/>
      <c r="W26" s="64" t="n"/>
      <c r="X26" s="64" t="n"/>
      <c r="Y26" s="74" t="n"/>
      <c r="Z26" s="74" t="n"/>
      <c r="AA26" s="193" t="n"/>
      <c r="AB26" s="194" t="n"/>
      <c r="AC26" s="194" t="n"/>
      <c r="AD26" s="194" t="n"/>
      <c r="AE26" s="194" t="n"/>
      <c r="AF26" s="194" t="n"/>
      <c r="AH26" s="151" t="inlineStr">
        <is>
          <t>2026 5: SLE 03/25 - 04/08</t>
        </is>
      </c>
      <c r="AI26" s="65" t="n">
        <v>0.5714285714285714</v>
      </c>
      <c r="AQ26" s="151" t="inlineStr">
        <is>
          <t>2026: SLE 04/08 - 04/30</t>
        </is>
      </c>
      <c r="AR26" s="143" t="n">
        <v>0</v>
      </c>
      <c r="AS26" s="143" t="n">
        <v>0</v>
      </c>
    </row>
    <row r="27" ht="18" customHeight="1">
      <c r="R27" s="169" t="n"/>
      <c r="S27" s="64" t="n"/>
      <c r="T27" s="64" t="n"/>
      <c r="U27" s="64" t="n"/>
      <c r="V27" s="64" t="n"/>
      <c r="X27" s="64" t="n"/>
      <c r="Y27" s="64" t="n"/>
      <c r="Z27" s="64" t="n"/>
      <c r="AA27" s="193" t="n"/>
      <c r="AB27" s="194" t="n"/>
      <c r="AC27" s="194" t="n"/>
      <c r="AD27" s="194" t="n"/>
      <c r="AE27" s="194" t="n"/>
      <c r="AF27" s="194" t="n"/>
      <c r="AH27" s="151" t="inlineStr">
        <is>
          <t>2026: SLE 04/08 - 04/30</t>
        </is>
      </c>
      <c r="AI27" s="65" t="n">
        <v>1</v>
      </c>
      <c r="AQ27" s="151" t="inlineStr">
        <is>
          <t>2026: SLE 05/01 - 05/31</t>
        </is>
      </c>
      <c r="AR27" s="143" t="n">
        <v>0</v>
      </c>
      <c r="AS27" s="143" t="n">
        <v>0</v>
      </c>
    </row>
    <row r="28" ht="18" customHeight="1">
      <c r="R28" s="169" t="n"/>
      <c r="S28" s="74" t="n"/>
      <c r="T28" s="64" t="n"/>
      <c r="U28" s="74" t="n"/>
      <c r="V28" s="74" t="n"/>
      <c r="W28" s="64" t="n"/>
      <c r="X28" s="74" t="n"/>
      <c r="Y28" s="64" t="n"/>
      <c r="Z28" s="64" t="n"/>
      <c r="AA28" s="193" t="n"/>
      <c r="AB28" s="194" t="n"/>
      <c r="AC28" s="194" t="n"/>
      <c r="AD28" s="194" t="n"/>
      <c r="AE28" s="194" t="n"/>
      <c r="AF28" s="194" t="n"/>
      <c r="AH28" s="151" t="inlineStr">
        <is>
          <t>2026: SLE 05/01 - 05/31</t>
        </is>
      </c>
      <c r="AI28" s="65" t="n">
        <v>1</v>
      </c>
      <c r="AQ28" s="151" t="inlineStr">
        <is>
          <t>Grand Total</t>
        </is>
      </c>
      <c r="AR28" s="143" t="n">
        <v>2.95952380952381</v>
      </c>
      <c r="AS28" s="143" t="n">
        <v>1.474961155241747</v>
      </c>
    </row>
    <row r="29" ht="18" customHeight="1">
      <c r="R29" s="170" t="n"/>
      <c r="S29" s="64" t="n"/>
      <c r="T29" s="64" t="n"/>
      <c r="U29" s="64" t="n"/>
      <c r="V29" s="64" t="n"/>
      <c r="W29" s="64" t="n"/>
      <c r="X29" s="64" t="n"/>
      <c r="Y29" s="64" t="n"/>
      <c r="Z29" s="64" t="n"/>
      <c r="AA29" s="193" t="n"/>
      <c r="AB29" s="194" t="n"/>
      <c r="AC29" s="194" t="n"/>
      <c r="AD29" s="194" t="n"/>
      <c r="AE29" s="194" t="n"/>
      <c r="AF29" s="194" t="n"/>
      <c r="AH29" s="151" t="inlineStr">
        <is>
          <t>Grand Total</t>
        </is>
      </c>
      <c r="AI29" s="65" t="n">
        <v>4.350112508878892</v>
      </c>
    </row>
    <row r="30" ht="18" customHeight="1" thickBot="1">
      <c r="R30" s="169" t="n"/>
      <c r="S30" s="64" t="n"/>
      <c r="T30" s="64" t="n"/>
      <c r="U30" s="64" t="n"/>
      <c r="V30" s="64" t="n"/>
      <c r="W30" s="64" t="n"/>
      <c r="X30" s="64" t="n"/>
      <c r="Y30" s="64" t="n"/>
      <c r="Z30" s="64" t="n"/>
      <c r="AA30" s="193" t="n"/>
      <c r="AB30" s="194" t="n"/>
      <c r="AC30" s="194" t="n"/>
      <c r="AD30" s="194" t="n"/>
      <c r="AE30" s="194" t="n"/>
      <c r="AF30" s="194" t="n"/>
      <c r="AQ30" s="143" t="n"/>
      <c r="AR30" s="143" t="n"/>
      <c r="AS30" s="143" t="n"/>
    </row>
    <row r="31" ht="18" customHeight="1">
      <c r="R31" s="169" t="n"/>
      <c r="S31" s="64" t="n"/>
      <c r="T31" s="64" t="n"/>
      <c r="U31" s="64" t="n"/>
      <c r="V31" s="64" t="n"/>
      <c r="W31" s="64" t="n"/>
      <c r="X31" s="64" t="n"/>
      <c r="Y31" s="64" t="n"/>
      <c r="Z31" s="64" t="n"/>
      <c r="AA31" s="193" t="n"/>
      <c r="AB31" s="194" t="n"/>
      <c r="AC31" s="194" t="n"/>
      <c r="AD31" s="194" t="n"/>
      <c r="AE31" s="194" t="n"/>
      <c r="AF31" s="194" t="n"/>
      <c r="AH31" s="143" t="n"/>
      <c r="AQ31" s="156" t="inlineStr">
        <is>
          <t>Sprint</t>
        </is>
      </c>
      <c r="AR31" s="83" t="inlineStr">
        <is>
          <t>V2</t>
        </is>
      </c>
      <c r="AS31" s="83" t="inlineStr">
        <is>
          <t>LT</t>
        </is>
      </c>
    </row>
    <row r="32" ht="18" customHeight="1">
      <c r="R32" s="169" t="n"/>
      <c r="S32" s="64" t="n"/>
      <c r="T32" s="64" t="n"/>
      <c r="U32" s="64" t="n"/>
      <c r="V32" s="64" t="n"/>
      <c r="W32" s="64" t="n"/>
      <c r="X32" s="64" t="n"/>
      <c r="Y32" s="64" t="n"/>
      <c r="Z32" s="64" t="n"/>
      <c r="AA32" s="193" t="n"/>
      <c r="AB32" s="194" t="n"/>
      <c r="AC32" s="194" t="n"/>
      <c r="AD32" s="194" t="n"/>
      <c r="AE32" s="194" t="n"/>
      <c r="AF32" s="194" t="n"/>
      <c r="AH32" s="121" t="inlineStr">
        <is>
          <t>Sprint</t>
        </is>
      </c>
      <c r="AI32" s="121" t="inlineStr">
        <is>
          <t>Planned Vs Completed ratio</t>
        </is>
      </c>
      <c r="AQ32" s="163">
        <f>AQ22</f>
        <v/>
      </c>
      <c r="AR32" s="144">
        <f>AR22</f>
        <v/>
      </c>
      <c r="AS32" s="145">
        <f>AS22</f>
        <v/>
      </c>
    </row>
    <row r="33" ht="18" customHeight="1">
      <c r="R33" s="169" t="n"/>
      <c r="S33" s="74" t="n"/>
      <c r="T33" s="64" t="n"/>
      <c r="U33" s="74" t="n"/>
      <c r="V33" s="74" t="n"/>
      <c r="W33" s="74" t="n"/>
      <c r="X33" s="74" t="n"/>
      <c r="Y33" s="74" t="n"/>
      <c r="Z33" s="74" t="n"/>
      <c r="AA33" s="193" t="n"/>
      <c r="AB33" s="194" t="n"/>
      <c r="AC33" s="194" t="n"/>
      <c r="AD33" s="194" t="n"/>
      <c r="AE33" s="194" t="n"/>
      <c r="AF33" s="194" t="n"/>
      <c r="AH33" s="165">
        <f>AH23</f>
        <v/>
      </c>
      <c r="AI33" s="278">
        <f>AI23*100</f>
        <v/>
      </c>
      <c r="AQ33" s="163">
        <f>AQ23</f>
        <v/>
      </c>
      <c r="AR33" s="144">
        <f>AR23</f>
        <v/>
      </c>
      <c r="AS33" s="145">
        <f>AS23</f>
        <v/>
      </c>
    </row>
    <row r="34" ht="18" customHeight="1">
      <c r="R34" s="169" t="n"/>
      <c r="S34" s="64" t="n"/>
      <c r="T34" s="64" t="n"/>
      <c r="U34" s="64" t="n"/>
      <c r="V34" s="64" t="n"/>
      <c r="W34" s="64" t="n"/>
      <c r="X34" s="64" t="n"/>
      <c r="Y34" s="123" t="n"/>
      <c r="Z34" s="64" t="n"/>
      <c r="AA34" s="193" t="n"/>
      <c r="AB34" s="194" t="n"/>
      <c r="AC34" s="194" t="n"/>
      <c r="AD34" s="194" t="n"/>
      <c r="AE34" s="194" t="n"/>
      <c r="AF34" s="194" t="n"/>
      <c r="AH34" s="165">
        <f>AH24</f>
        <v/>
      </c>
      <c r="AI34" s="278">
        <f>AI24*100</f>
        <v/>
      </c>
      <c r="AQ34" s="163">
        <f>AQ24</f>
        <v/>
      </c>
      <c r="AR34" s="144">
        <f>AR24</f>
        <v/>
      </c>
      <c r="AS34" s="145">
        <f>AS24</f>
        <v/>
      </c>
    </row>
    <row r="35" ht="18" customHeight="1">
      <c r="R35" s="169" t="n"/>
      <c r="S35" s="74" t="n"/>
      <c r="T35" s="64" t="n"/>
      <c r="U35" s="74" t="n"/>
      <c r="V35" s="74" t="n"/>
      <c r="W35" s="74" t="n"/>
      <c r="X35" s="74" t="n"/>
      <c r="Y35" s="171" t="n"/>
      <c r="Z35" s="74" t="n"/>
      <c r="AA35" s="193" t="n"/>
      <c r="AB35" s="194" t="n"/>
      <c r="AC35" s="194" t="n"/>
      <c r="AD35" s="194" t="n"/>
      <c r="AE35" s="194" t="n"/>
      <c r="AF35" s="194" t="n"/>
      <c r="AH35" s="165">
        <f>AH25</f>
        <v/>
      </c>
      <c r="AI35" s="278">
        <f>AI25*100</f>
        <v/>
      </c>
      <c r="AQ35" s="163">
        <f>AQ25</f>
        <v/>
      </c>
      <c r="AR35" s="144">
        <f>AR25</f>
        <v/>
      </c>
      <c r="AS35" s="145">
        <f>AS25</f>
        <v/>
      </c>
    </row>
    <row r="36" ht="18" customHeight="1">
      <c r="R36" s="170" t="n"/>
      <c r="S36" s="74" t="n"/>
      <c r="T36" s="64" t="n"/>
      <c r="U36" s="74" t="n"/>
      <c r="V36" s="74" t="n"/>
      <c r="W36" s="74" t="n"/>
      <c r="X36" s="74" t="n"/>
      <c r="Y36" s="74" t="n"/>
      <c r="Z36" s="74" t="n"/>
      <c r="AA36" s="193" t="n"/>
      <c r="AB36" s="194" t="n"/>
      <c r="AC36" s="194" t="n"/>
      <c r="AD36" s="194" t="n"/>
      <c r="AE36" s="194" t="n"/>
      <c r="AF36" s="194" t="n"/>
      <c r="AH36" s="165">
        <f>AH26</f>
        <v/>
      </c>
      <c r="AI36" s="278">
        <f>AI26*100</f>
        <v/>
      </c>
      <c r="AQ36" s="163">
        <f>AQ26</f>
        <v/>
      </c>
      <c r="AR36" s="144">
        <f>AR26</f>
        <v/>
      </c>
      <c r="AS36" s="145">
        <f>AS26</f>
        <v/>
      </c>
    </row>
    <row r="37" ht="18" customHeight="1">
      <c r="R37" s="170" t="n"/>
      <c r="S37" s="64" t="n"/>
      <c r="T37" s="64" t="n"/>
      <c r="U37" s="64" t="n"/>
      <c r="V37" s="64" t="n"/>
      <c r="W37" s="64" t="n"/>
      <c r="X37" s="64" t="n"/>
      <c r="Y37" s="74" t="n"/>
      <c r="Z37" s="74" t="n"/>
      <c r="AA37" s="193" t="n"/>
      <c r="AB37" s="194" t="n"/>
      <c r="AC37" s="194" t="n"/>
      <c r="AD37" s="194" t="n"/>
      <c r="AE37" s="194" t="n"/>
      <c r="AF37" s="194" t="n"/>
      <c r="AH37" s="165">
        <f>AH27</f>
        <v/>
      </c>
      <c r="AI37" s="278">
        <f>AI27*100</f>
        <v/>
      </c>
      <c r="AQ37" s="163">
        <f>AQ27</f>
        <v/>
      </c>
      <c r="AR37" s="144">
        <f>AR27</f>
        <v/>
      </c>
      <c r="AS37" s="145">
        <f>AS27</f>
        <v/>
      </c>
    </row>
    <row r="38" ht="18" customHeight="1" thickBot="1">
      <c r="R38" s="169" t="n"/>
      <c r="S38" s="64" t="n"/>
      <c r="T38" s="64" t="n"/>
      <c r="U38" s="64" t="n"/>
      <c r="V38" s="64" t="n"/>
      <c r="W38" s="64" t="n"/>
      <c r="X38" s="64" t="n"/>
      <c r="Y38" s="64" t="n"/>
      <c r="Z38" s="64" t="n"/>
      <c r="AA38" s="193" t="n"/>
      <c r="AB38" s="194" t="n"/>
      <c r="AC38" s="194" t="n"/>
      <c r="AD38" s="194" t="n"/>
      <c r="AE38" s="194" t="n"/>
      <c r="AF38" s="194" t="n"/>
      <c r="AH38" s="165">
        <f>AH28</f>
        <v/>
      </c>
      <c r="AI38" s="278">
        <f>AI28*100</f>
        <v/>
      </c>
      <c r="AQ38" s="164">
        <f>AQ28</f>
        <v/>
      </c>
      <c r="AR38" s="146">
        <f>AR28</f>
        <v/>
      </c>
      <c r="AS38" s="147">
        <f>AS28</f>
        <v/>
      </c>
    </row>
    <row r="39" ht="18" customHeight="1">
      <c r="R39" s="169" t="n"/>
      <c r="S39" s="74" t="n"/>
      <c r="T39" s="64" t="n"/>
      <c r="U39" s="74" t="n"/>
      <c r="V39" s="74" t="n"/>
      <c r="W39" s="74" t="n"/>
      <c r="X39" s="74" t="n"/>
      <c r="Y39" s="64" t="n"/>
      <c r="Z39" s="64" t="n"/>
      <c r="AA39" s="193" t="n"/>
      <c r="AB39" s="194" t="n"/>
      <c r="AC39" s="194" t="n"/>
      <c r="AD39" s="194" t="n"/>
      <c r="AE39" s="194" t="n"/>
      <c r="AF39" s="194" t="n"/>
      <c r="AH39" s="165">
        <f>AH29</f>
        <v/>
      </c>
      <c r="AI39" s="278">
        <f>AI29*100</f>
        <v/>
      </c>
    </row>
    <row r="40" ht="18" customHeight="1">
      <c r="R40" s="170" t="n"/>
      <c r="S40" s="64" t="n"/>
      <c r="T40" s="64" t="n"/>
      <c r="U40" s="64" t="n"/>
      <c r="V40" s="64" t="n"/>
      <c r="W40" s="64" t="n"/>
      <c r="X40" s="64" t="n"/>
      <c r="Y40" s="64" t="n"/>
      <c r="Z40" s="64" t="n"/>
      <c r="AA40" s="193" t="n"/>
      <c r="AB40" s="194" t="n"/>
      <c r="AC40" s="194" t="n"/>
      <c r="AD40" s="194" t="n"/>
      <c r="AE40" s="194" t="n"/>
      <c r="AF40" s="194" t="n"/>
      <c r="AH40" s="143" t="n"/>
    </row>
    <row r="41" ht="18" customHeight="1">
      <c r="R41" s="169" t="n"/>
      <c r="S41" s="64" t="n"/>
      <c r="T41" s="64" t="n"/>
      <c r="U41" s="64" t="n"/>
      <c r="V41" s="64" t="n"/>
      <c r="W41" s="64" t="n"/>
      <c r="X41" s="64" t="n"/>
      <c r="Y41" s="64" t="n"/>
      <c r="Z41" s="64" t="n"/>
      <c r="AA41" s="193" t="n"/>
      <c r="AB41" s="194" t="n"/>
      <c r="AC41" s="194" t="n"/>
      <c r="AD41" s="194" t="n"/>
      <c r="AE41" s="194" t="n"/>
      <c r="AF41" s="194" t="n"/>
      <c r="AH41" s="143" t="n"/>
    </row>
    <row r="42" ht="18" customHeight="1">
      <c r="R42" s="169" t="n"/>
      <c r="S42" s="64" t="n"/>
      <c r="T42" s="64" t="n"/>
      <c r="U42" s="64" t="n"/>
      <c r="V42" s="64" t="n"/>
      <c r="W42" s="64" t="n"/>
      <c r="X42" s="64" t="n"/>
      <c r="Y42" s="64" t="n"/>
      <c r="Z42" s="64" t="n"/>
      <c r="AA42" s="193" t="n"/>
      <c r="AB42" s="194" t="n"/>
      <c r="AC42" s="194" t="n"/>
      <c r="AD42" s="194" t="n"/>
      <c r="AE42" s="194" t="n"/>
      <c r="AF42" s="194" t="n"/>
      <c r="AH42" s="143" t="n"/>
    </row>
    <row r="43" ht="18" customHeight="1">
      <c r="R43" s="169" t="n"/>
      <c r="S43" s="64" t="n"/>
      <c r="T43" s="64" t="n"/>
      <c r="U43" s="64" t="n"/>
      <c r="V43" s="64" t="n"/>
      <c r="W43" s="64" t="n"/>
      <c r="X43" s="64" t="n"/>
      <c r="Y43" s="64" t="n"/>
      <c r="Z43" s="64" t="n"/>
      <c r="AA43" s="193" t="n"/>
      <c r="AB43" s="194" t="n"/>
      <c r="AC43" s="194" t="n"/>
      <c r="AD43" s="194" t="n"/>
      <c r="AE43" s="194" t="n"/>
      <c r="AF43" s="194" t="n"/>
      <c r="AH43" s="143" t="n"/>
    </row>
    <row r="44" ht="18" customHeight="1">
      <c r="R44" s="169" t="n"/>
      <c r="S44" s="64" t="n"/>
      <c r="T44" s="64" t="n"/>
      <c r="U44" s="64" t="n"/>
      <c r="V44" s="64" t="n"/>
      <c r="W44" s="64" t="n"/>
      <c r="X44" s="64" t="n"/>
      <c r="Y44" s="64" t="n"/>
      <c r="Z44" s="64" t="n"/>
      <c r="AA44" s="193" t="n"/>
      <c r="AB44" s="194" t="n"/>
      <c r="AC44" s="194" t="n"/>
      <c r="AD44" s="194" t="n"/>
      <c r="AE44" s="194" t="n"/>
      <c r="AF44" s="194" t="n"/>
      <c r="AH44" s="143" t="n"/>
    </row>
    <row r="45" ht="18" customHeight="1">
      <c r="R45" s="169" t="n"/>
      <c r="S45" s="64" t="n"/>
      <c r="T45" s="64" t="n"/>
      <c r="U45" s="64" t="n"/>
      <c r="V45" s="64" t="n"/>
      <c r="W45" s="64" t="n"/>
      <c r="X45" s="64" t="n"/>
      <c r="Y45" s="64" t="n"/>
      <c r="Z45" s="64" t="n"/>
      <c r="AA45" s="193" t="n"/>
      <c r="AB45" s="194" t="n"/>
      <c r="AC45" s="194" t="n"/>
      <c r="AD45" s="194" t="n"/>
      <c r="AE45" s="194" t="n"/>
      <c r="AF45" s="194" t="n"/>
      <c r="AH45" s="143" t="n"/>
    </row>
    <row r="46" ht="18" customHeight="1">
      <c r="R46" s="169" t="n"/>
      <c r="S46" s="64" t="n"/>
      <c r="T46" s="64" t="n"/>
      <c r="U46" s="64" t="n"/>
      <c r="V46" s="64" t="n"/>
      <c r="W46" s="64" t="n"/>
      <c r="X46" s="64" t="n"/>
      <c r="Y46" s="64" t="n"/>
      <c r="Z46" s="64" t="n"/>
      <c r="AA46" s="193" t="n"/>
      <c r="AB46" s="194" t="n"/>
      <c r="AC46" s="194" t="n"/>
      <c r="AD46" s="194" t="n"/>
      <c r="AE46" s="194" t="n"/>
      <c r="AF46" s="194" t="n"/>
      <c r="AH46" s="143" t="n"/>
    </row>
    <row r="47" ht="18" customHeight="1" thickBot="1">
      <c r="R47" s="169" t="n"/>
      <c r="S47" s="64" t="n"/>
      <c r="T47" s="64" t="n"/>
      <c r="U47" s="64" t="n"/>
      <c r="V47" s="64" t="n"/>
      <c r="W47" s="64" t="n"/>
      <c r="X47" s="64" t="n"/>
      <c r="Y47" s="64" t="n"/>
      <c r="Z47" s="64" t="n"/>
      <c r="AA47" s="193" t="n"/>
      <c r="AB47" s="194" t="n"/>
      <c r="AC47" s="194" t="n"/>
      <c r="AD47" s="194" t="n"/>
      <c r="AE47" s="194" t="n"/>
      <c r="AF47" s="194" t="n"/>
      <c r="AH47" s="143" t="n"/>
    </row>
    <row r="48" ht="18" customHeight="1">
      <c r="R48" s="169" t="n"/>
      <c r="S48" s="74" t="n"/>
      <c r="T48" s="74" t="n"/>
      <c r="U48" s="74" t="n"/>
      <c r="V48" s="74" t="n"/>
      <c r="W48" s="74" t="n"/>
      <c r="X48" s="74" t="n"/>
      <c r="Y48" s="74" t="n"/>
      <c r="Z48" s="74" t="n"/>
      <c r="AA48" s="285" t="n"/>
      <c r="AB48" s="286" t="n"/>
      <c r="AC48" s="286" t="n"/>
      <c r="AD48" s="286" t="n"/>
      <c r="AE48" s="286" t="n"/>
      <c r="AF48" s="286" t="n"/>
      <c r="AH48" s="143" t="n"/>
      <c r="AJ48" s="246" t="inlineStr">
        <is>
          <t>Sprint</t>
        </is>
      </c>
      <c r="AK48" s="83" t="inlineStr">
        <is>
          <t>V2</t>
        </is>
      </c>
      <c r="AL48" s="83" t="inlineStr">
        <is>
          <t>LT</t>
        </is>
      </c>
    </row>
    <row r="49" ht="18" customHeight="1">
      <c r="R49" s="170" t="n"/>
      <c r="S49" s="64" t="n"/>
      <c r="T49" s="64" t="n"/>
      <c r="U49" s="64" t="n"/>
      <c r="V49" s="64" t="n"/>
      <c r="W49" s="64" t="n"/>
      <c r="X49" s="64" t="n"/>
      <c r="Y49" s="64" t="n"/>
      <c r="Z49" s="64" t="n"/>
      <c r="AA49" s="272" t="n"/>
      <c r="AB49" s="284" t="n"/>
      <c r="AC49" s="284" t="n"/>
      <c r="AD49" s="284" t="n"/>
      <c r="AE49" s="284" t="n"/>
      <c r="AF49" s="284" t="n"/>
      <c r="AJ49" s="151" t="inlineStr">
        <is>
          <t>2026 2: SLE 02/11 - 02/25</t>
        </is>
      </c>
      <c r="AK49" s="64" t="n">
        <v>5</v>
      </c>
      <c r="AL49" s="64" t="n">
        <v>27</v>
      </c>
    </row>
    <row r="50" ht="18" customHeight="1">
      <c r="R50" s="169" t="n"/>
      <c r="S50" s="64" t="n"/>
      <c r="T50" s="64" t="n"/>
      <c r="U50" s="64" t="n"/>
      <c r="V50" s="64" t="n"/>
      <c r="W50" s="64" t="n"/>
      <c r="X50" s="64" t="n"/>
      <c r="Y50" s="64" t="n"/>
      <c r="Z50" s="64" t="n"/>
      <c r="AA50" s="272" t="n"/>
      <c r="AB50" s="284" t="n"/>
      <c r="AC50" s="284" t="n"/>
      <c r="AD50" s="284" t="n"/>
      <c r="AE50" s="284" t="n"/>
      <c r="AF50" s="284" t="n"/>
      <c r="AJ50" s="151" t="inlineStr">
        <is>
          <t>2026 3: SLE 02/25 - 03/11</t>
        </is>
      </c>
      <c r="AK50" s="64" t="n">
        <v>7</v>
      </c>
      <c r="AL50" s="64" t="n">
        <v>28</v>
      </c>
    </row>
    <row r="51" ht="18" customHeight="1">
      <c r="R51" s="169" t="n"/>
      <c r="S51" s="64" t="n"/>
      <c r="T51" s="64" t="n"/>
      <c r="U51" s="64" t="n"/>
      <c r="V51" s="64" t="n"/>
      <c r="W51" s="64" t="n"/>
      <c r="X51" s="64" t="n"/>
      <c r="Y51" s="64" t="n"/>
      <c r="Z51" s="64" t="n"/>
      <c r="AA51" s="64" t="n"/>
      <c r="AB51" s="150" t="n"/>
      <c r="AC51" s="150" t="n"/>
      <c r="AD51" s="150" t="n"/>
      <c r="AE51" s="150" t="n"/>
      <c r="AF51" s="64" t="n"/>
      <c r="AJ51" s="151" t="inlineStr">
        <is>
          <t>2026 4: SLE 03/11 - 03/25</t>
        </is>
      </c>
      <c r="AK51" s="193" t="n">
        <v>9</v>
      </c>
      <c r="AL51" s="193" t="n">
        <v>22</v>
      </c>
    </row>
    <row r="52" ht="18" customHeight="1">
      <c r="R52" s="169" t="n"/>
      <c r="S52" s="64" t="n"/>
      <c r="T52" s="64" t="n"/>
      <c r="U52" s="64" t="n"/>
      <c r="V52" s="64" t="n"/>
      <c r="W52" s="64" t="n"/>
      <c r="X52" s="64" t="n"/>
      <c r="Y52" s="64" t="n"/>
      <c r="Z52" s="64" t="n"/>
      <c r="AA52" s="64" t="n"/>
      <c r="AB52" s="150" t="n"/>
      <c r="AC52" s="150" t="n"/>
      <c r="AD52" s="150" t="n"/>
      <c r="AE52" s="150" t="n"/>
      <c r="AF52" s="64" t="n"/>
      <c r="AJ52" s="151" t="inlineStr">
        <is>
          <t>2026 5: SLE 03/25 - 04/08</t>
        </is>
      </c>
      <c r="AK52" s="193" t="n">
        <v>11</v>
      </c>
      <c r="AL52" s="193" t="n">
        <v>28</v>
      </c>
    </row>
    <row r="53" ht="18" customHeight="1">
      <c r="R53" s="169" t="n"/>
      <c r="S53" s="64" t="n"/>
      <c r="T53" s="64" t="n"/>
      <c r="U53" s="64" t="n"/>
      <c r="V53" s="64" t="n"/>
      <c r="W53" s="64" t="n"/>
      <c r="X53" s="64" t="n"/>
      <c r="Y53" s="64" t="n"/>
      <c r="Z53" s="64" t="n"/>
      <c r="AA53" s="64" t="n"/>
      <c r="AB53" s="150" t="n"/>
      <c r="AC53" s="150" t="n"/>
      <c r="AD53" s="150" t="n"/>
      <c r="AE53" s="150" t="n"/>
      <c r="AF53" s="64" t="n"/>
      <c r="AJ53" s="151" t="inlineStr">
        <is>
          <t>2026: SLE 04/08 - 04/30</t>
        </is>
      </c>
      <c r="AK53" s="193" t="n">
        <v>0</v>
      </c>
      <c r="AL53" s="193" t="n">
        <v>0</v>
      </c>
    </row>
    <row r="54" ht="18" customHeight="1">
      <c r="R54" s="169" t="n"/>
      <c r="S54" s="64" t="n"/>
      <c r="T54" s="64" t="n"/>
      <c r="U54" s="64" t="n"/>
      <c r="V54" s="64" t="n"/>
      <c r="W54" s="64" t="n"/>
      <c r="X54" s="64" t="n"/>
      <c r="Y54" s="64" t="n"/>
      <c r="Z54" s="64" t="n"/>
      <c r="AA54" s="64" t="n"/>
      <c r="AB54" s="150" t="n"/>
      <c r="AC54" s="150" t="n"/>
      <c r="AD54" s="150" t="n"/>
      <c r="AE54" s="150" t="n"/>
      <c r="AF54" s="64" t="n"/>
      <c r="AJ54" s="151" t="inlineStr">
        <is>
          <t>2026: SLE 05/01 - 05/31</t>
        </is>
      </c>
      <c r="AK54" s="193" t="n">
        <v>0</v>
      </c>
      <c r="AL54" s="193" t="n">
        <v>0</v>
      </c>
    </row>
    <row r="55" ht="18" customHeight="1">
      <c r="R55" s="169" t="n"/>
      <c r="S55" s="64" t="n"/>
      <c r="T55" s="64" t="n"/>
      <c r="U55" s="64" t="n"/>
      <c r="V55" s="64" t="n"/>
      <c r="W55" s="64" t="n"/>
      <c r="X55" s="64" t="n"/>
      <c r="Y55" s="64" t="n"/>
      <c r="Z55" s="64" t="n"/>
      <c r="AA55" s="64" t="n"/>
      <c r="AB55" s="150" t="n"/>
      <c r="AC55" s="150" t="n"/>
      <c r="AD55" s="150" t="n"/>
      <c r="AE55" s="150" t="n"/>
      <c r="AF55" s="64" t="n"/>
      <c r="AJ55" s="151" t="n"/>
      <c r="AK55" s="277" t="n"/>
      <c r="AL55" s="277" t="n"/>
    </row>
    <row r="56" ht="18" customHeight="1">
      <c r="R56" s="169" t="n"/>
      <c r="S56" s="64" t="n"/>
      <c r="T56" s="64" t="n"/>
      <c r="U56" s="64" t="n"/>
      <c r="V56" s="64" t="n"/>
      <c r="W56" s="64" t="n"/>
      <c r="X56" s="64" t="n"/>
      <c r="Y56" s="64" t="n"/>
      <c r="Z56" s="64" t="n"/>
      <c r="AA56" s="64" t="n"/>
      <c r="AB56" s="150" t="n"/>
      <c r="AC56" s="150" t="n"/>
      <c r="AD56" s="150" t="n"/>
      <c r="AE56" s="150" t="n"/>
      <c r="AF56" s="64" t="n"/>
    </row>
    <row r="57" ht="18" customHeight="1" thickBot="1">
      <c r="R57" s="169" t="n"/>
      <c r="S57" s="287" t="n"/>
      <c r="T57" s="287" t="n"/>
      <c r="U57" s="287" t="n"/>
      <c r="V57" s="287" t="n"/>
      <c r="W57" s="287" t="n"/>
      <c r="X57" s="287" t="n"/>
      <c r="Y57" s="287" t="n"/>
      <c r="Z57" s="287" t="n"/>
      <c r="AA57" s="288" t="n"/>
      <c r="AB57" s="289" t="n"/>
      <c r="AC57" s="289" t="n"/>
      <c r="AD57" s="289" t="n"/>
      <c r="AE57" s="289" t="n"/>
      <c r="AF57" s="289" t="n"/>
    </row>
    <row r="58" ht="18" customHeight="1">
      <c r="R58" s="268" t="n"/>
      <c r="S58" s="64" t="n"/>
      <c r="T58" s="64" t="n"/>
      <c r="U58" s="64" t="n"/>
      <c r="V58" s="64" t="n"/>
      <c r="W58" s="64" t="n"/>
      <c r="X58" s="64" t="n"/>
      <c r="Y58" s="64" t="n"/>
      <c r="Z58" s="64" t="n"/>
      <c r="AA58" s="123" t="n"/>
      <c r="AB58" s="150" t="n"/>
      <c r="AC58" s="150" t="n"/>
      <c r="AD58" s="150" t="n"/>
      <c r="AE58" s="150" t="n"/>
      <c r="AF58" s="150" t="n"/>
      <c r="AJ58" s="246" t="inlineStr">
        <is>
          <t>Sprint</t>
        </is>
      </c>
      <c r="AK58" s="83" t="inlineStr">
        <is>
          <t>V2</t>
        </is>
      </c>
      <c r="AL58" s="83" t="inlineStr">
        <is>
          <t>LT</t>
        </is>
      </c>
    </row>
    <row r="59" ht="18" customHeight="1">
      <c r="R59" s="169" t="n"/>
      <c r="S59" s="64" t="n"/>
      <c r="T59" s="64" t="n"/>
      <c r="U59" s="64" t="n"/>
      <c r="V59" s="64" t="n"/>
      <c r="W59" s="64" t="n"/>
      <c r="X59" s="64" t="n"/>
      <c r="Y59" s="64" t="n"/>
      <c r="Z59" s="64" t="n"/>
      <c r="AA59" s="123" t="n"/>
      <c r="AB59" s="150" t="n"/>
      <c r="AC59" s="150" t="n"/>
      <c r="AD59" s="150" t="n"/>
      <c r="AE59" s="150" t="n"/>
      <c r="AF59" s="150" t="n"/>
      <c r="AJ59" s="151" t="inlineStr">
        <is>
          <t>2026 2: SLE 02/11 - 02/25</t>
        </is>
      </c>
      <c r="AK59" s="64" t="n">
        <v>0</v>
      </c>
      <c r="AL59" s="64" t="n">
        <v>6</v>
      </c>
    </row>
    <row r="60" ht="18" customHeight="1">
      <c r="R60" s="169" t="n"/>
      <c r="S60" s="64" t="n"/>
      <c r="T60" s="64" t="n"/>
      <c r="U60" s="64" t="n"/>
      <c r="V60" s="64" t="n"/>
      <c r="W60" s="64" t="n"/>
      <c r="X60" s="64" t="n"/>
      <c r="Y60" s="64" t="n"/>
      <c r="Z60" s="64" t="n"/>
      <c r="AA60" s="123" t="n"/>
      <c r="AB60" s="150" t="n"/>
      <c r="AC60" s="150" t="n"/>
      <c r="AD60" s="150" t="n"/>
      <c r="AE60" s="150" t="n"/>
      <c r="AF60" s="150" t="n"/>
      <c r="AJ60" s="151" t="inlineStr">
        <is>
          <t>2026 3: SLE 02/25 - 03/11</t>
        </is>
      </c>
      <c r="AK60" s="193" t="n">
        <v>0</v>
      </c>
      <c r="AL60" s="193" t="n">
        <v>5</v>
      </c>
    </row>
    <row r="61" ht="18" customHeight="1">
      <c r="R61" s="169" t="n"/>
      <c r="S61" s="64" t="n"/>
      <c r="T61" s="64" t="n"/>
      <c r="U61" s="64" t="n"/>
      <c r="V61" s="64" t="n"/>
      <c r="W61" s="64" t="n"/>
      <c r="X61" s="64" t="n"/>
      <c r="Y61" s="64" t="n"/>
      <c r="Z61" s="64" t="n"/>
      <c r="AA61" s="123" t="n"/>
      <c r="AB61" s="150" t="n"/>
      <c r="AC61" s="150" t="n"/>
      <c r="AD61" s="150" t="n"/>
      <c r="AE61" s="150" t="n"/>
      <c r="AF61" s="150" t="n"/>
      <c r="AJ61" s="151" t="inlineStr">
        <is>
          <t>2026 4: SLE 03/11 - 03/25</t>
        </is>
      </c>
      <c r="AK61" s="193" t="n">
        <v>0</v>
      </c>
      <c r="AL61" s="193" t="n">
        <v>5</v>
      </c>
    </row>
    <row r="62" ht="18" customHeight="1">
      <c r="R62" s="169" t="n"/>
      <c r="S62" s="64" t="n"/>
      <c r="T62" s="64" t="n"/>
      <c r="U62" s="64" t="n"/>
      <c r="V62" s="64" t="n"/>
      <c r="W62" s="64" t="n"/>
      <c r="X62" s="64" t="n"/>
      <c r="Y62" s="64" t="n"/>
      <c r="Z62" s="64" t="n"/>
      <c r="AA62" s="123" t="n"/>
      <c r="AB62" s="150" t="n"/>
      <c r="AC62" s="150" t="n"/>
      <c r="AD62" s="150" t="n"/>
      <c r="AE62" s="150" t="n"/>
      <c r="AF62" s="150" t="n"/>
      <c r="AJ62" s="151" t="inlineStr">
        <is>
          <t>2026 5: SLE 03/25 - 04/08</t>
        </is>
      </c>
      <c r="AK62" s="193" t="n">
        <v>4</v>
      </c>
      <c r="AL62" s="193" t="n">
        <v>6</v>
      </c>
    </row>
    <row r="63" ht="18" customHeight="1">
      <c r="R63" s="169" t="n"/>
      <c r="S63" s="64" t="n"/>
      <c r="T63" s="64" t="n"/>
      <c r="U63" s="64" t="n"/>
      <c r="V63" s="64" t="n"/>
      <c r="W63" s="64" t="n"/>
      <c r="X63" s="64" t="n"/>
      <c r="Y63" s="64" t="n"/>
      <c r="Z63" s="64" t="n"/>
      <c r="AA63" s="123" t="n"/>
      <c r="AB63" s="150" t="n"/>
      <c r="AC63" s="150" t="n"/>
      <c r="AD63" s="150" t="n"/>
      <c r="AE63" s="150" t="n"/>
      <c r="AF63" s="150" t="n"/>
      <c r="AJ63" s="151" t="inlineStr">
        <is>
          <t>2026: SLE 04/08 - 04/30</t>
        </is>
      </c>
      <c r="AK63" s="193" t="n">
        <v>5</v>
      </c>
      <c r="AL63" s="193" t="n">
        <v>18</v>
      </c>
    </row>
    <row r="64" ht="18" customHeight="1">
      <c r="R64" s="169" t="n"/>
      <c r="S64" s="64" t="n"/>
      <c r="T64" s="64" t="n"/>
      <c r="U64" s="64" t="n"/>
      <c r="V64" s="64" t="n"/>
      <c r="W64" s="64" t="n"/>
      <c r="X64" s="64" t="n"/>
      <c r="Y64" s="64" t="n"/>
      <c r="Z64" s="64" t="n"/>
      <c r="AA64" s="123" t="n"/>
      <c r="AB64" s="150" t="n"/>
      <c r="AC64" s="150" t="n"/>
      <c r="AD64" s="150" t="n"/>
      <c r="AE64" s="150" t="n"/>
      <c r="AF64" s="150" t="n"/>
      <c r="AJ64" s="151" t="inlineStr">
        <is>
          <t>2026: SLE 05/01 - 05/31</t>
        </is>
      </c>
      <c r="AK64" s="193" t="n">
        <v>13</v>
      </c>
      <c r="AL64" s="193" t="n">
        <v>8</v>
      </c>
    </row>
    <row r="65" ht="18" customHeight="1">
      <c r="R65" s="169" t="n"/>
      <c r="S65" s="64" t="n"/>
      <c r="T65" s="64" t="n"/>
      <c r="U65" s="64" t="n"/>
      <c r="V65" s="64" t="n"/>
      <c r="W65" s="64" t="n"/>
      <c r="X65" s="64" t="n"/>
      <c r="Y65" s="64" t="n"/>
      <c r="Z65" s="64" t="n"/>
      <c r="AA65" s="123" t="n"/>
      <c r="AB65" s="150" t="n"/>
      <c r="AC65" s="150" t="n"/>
      <c r="AD65" s="150" t="n"/>
      <c r="AE65" s="150" t="n"/>
      <c r="AF65" s="150" t="n"/>
      <c r="AJ65" s="277" t="n"/>
      <c r="AK65" s="277" t="n"/>
      <c r="AL65" s="277" t="n"/>
    </row>
    <row r="66" ht="18" customHeight="1">
      <c r="R66" s="169" t="n"/>
      <c r="S66" s="64" t="n"/>
      <c r="T66" s="64" t="n"/>
      <c r="U66" s="64" t="n"/>
      <c r="V66" s="64" t="n"/>
      <c r="W66" s="64" t="n"/>
      <c r="X66" s="64" t="n"/>
      <c r="Y66" s="64" t="n"/>
      <c r="Z66" s="64" t="n"/>
      <c r="AA66" s="123" t="n"/>
      <c r="AB66" s="150" t="n"/>
      <c r="AC66" s="150" t="n"/>
      <c r="AD66" s="150" t="n"/>
      <c r="AE66" s="150" t="n"/>
      <c r="AF66" s="150" t="n"/>
    </row>
    <row r="67" ht="18" customHeight="1">
      <c r="R67" s="169" t="n"/>
      <c r="AF67" s="65" t="n"/>
    </row>
    <row r="68" ht="18" customHeight="1">
      <c r="AF68" s="65" t="n"/>
    </row>
    <row r="69" ht="18" customHeight="1">
      <c r="AF69" s="65" t="n"/>
    </row>
    <row r="70" ht="18" customHeight="1">
      <c r="AF70" s="65" t="n"/>
    </row>
    <row r="71" ht="18" customHeight="1">
      <c r="AF71" s="65" t="n"/>
    </row>
    <row r="72" ht="18" customHeight="1">
      <c r="AF72" s="65" t="n"/>
    </row>
    <row r="73" ht="18" customHeight="1">
      <c r="AF73" s="65" t="n"/>
    </row>
    <row r="74" ht="18" customHeight="1">
      <c r="AF74" s="65" t="n"/>
    </row>
    <row r="75" ht="18" customHeight="1">
      <c r="AF75" s="65" t="n"/>
    </row>
    <row r="76" ht="18" customHeight="1">
      <c r="AF76" s="65" t="n"/>
    </row>
    <row r="77" ht="18" customHeight="1">
      <c r="AF77" s="65" t="n"/>
    </row>
    <row r="78" ht="18" customHeight="1">
      <c r="AF78" s="65" t="n"/>
    </row>
    <row r="79" ht="18" customHeight="1">
      <c r="AF79" s="65" t="n"/>
    </row>
    <row r="80" ht="18" customHeight="1">
      <c r="AF80" s="65" t="n"/>
    </row>
    <row r="81" ht="18" customHeight="1">
      <c r="AF81" s="65" t="n"/>
    </row>
    <row r="82" ht="18" customHeight="1">
      <c r="AF82" s="65" t="n"/>
    </row>
    <row r="83" ht="18" customHeight="1">
      <c r="AF83" s="65" t="n"/>
    </row>
    <row r="84" ht="18" customHeight="1">
      <c r="AF84" s="65" t="n"/>
    </row>
    <row r="85" ht="18" customHeight="1">
      <c r="AF85" s="65" t="n"/>
    </row>
    <row r="86" ht="18" customHeight="1">
      <c r="AF86" s="65" t="n"/>
    </row>
    <row r="87" ht="18" customHeight="1">
      <c r="AF87" s="65" t="n"/>
    </row>
    <row r="88" ht="18" customHeight="1">
      <c r="AF88" s="65" t="n"/>
    </row>
    <row r="89" ht="18" customHeight="1">
      <c r="AF89" s="65" t="n"/>
    </row>
    <row r="90" ht="18" customHeight="1">
      <c r="AF90" s="65" t="n"/>
    </row>
    <row r="91" ht="18" customHeight="1">
      <c r="AF91" s="65" t="n"/>
    </row>
    <row r="92" ht="18" customHeight="1">
      <c r="AF92" s="65" t="n"/>
    </row>
    <row r="93" ht="18" customHeight="1">
      <c r="AF93" s="65" t="n"/>
    </row>
    <row r="94" ht="18" customHeight="1">
      <c r="AF94" s="65" t="n"/>
    </row>
    <row r="95" ht="18" customHeight="1">
      <c r="AF95" s="65" t="n"/>
    </row>
    <row r="96" ht="18" customHeight="1">
      <c r="AF96" s="65" t="n"/>
    </row>
    <row r="97" ht="18" customHeight="1">
      <c r="AF97" s="65" t="n"/>
    </row>
    <row r="98" ht="18" customHeight="1">
      <c r="AF98" s="65" t="n"/>
    </row>
    <row r="99" ht="18" customHeight="1">
      <c r="AF99" s="65" t="n"/>
    </row>
    <row r="100" ht="18" customHeight="1">
      <c r="AF100" s="65" t="n"/>
    </row>
    <row r="101" ht="18" customHeight="1">
      <c r="AF101" s="65" t="n"/>
    </row>
    <row r="102" ht="18" customHeight="1">
      <c r="AF102" s="65" t="n"/>
    </row>
    <row r="103" ht="18" customHeight="1">
      <c r="AF103" s="65" t="n"/>
    </row>
    <row r="104" ht="18" customHeight="1">
      <c r="AF104" s="65" t="n"/>
    </row>
    <row r="105" ht="18" customHeight="1">
      <c r="AF105" s="65" t="n"/>
    </row>
    <row r="106" ht="18" customHeight="1">
      <c r="AF106" s="65" t="n"/>
    </row>
    <row r="107" ht="18" customHeight="1">
      <c r="AF107" s="65" t="n"/>
    </row>
    <row r="108" ht="18" customHeight="1">
      <c r="AF108" s="65" t="n"/>
    </row>
    <row r="109" ht="18" customHeight="1">
      <c r="AF109" s="65" t="n"/>
    </row>
    <row r="110" ht="18" customHeight="1">
      <c r="AF110" s="65" t="n"/>
    </row>
    <row r="111" ht="18" customHeight="1">
      <c r="AF111" s="65" t="n"/>
    </row>
    <row r="112" ht="18" customHeight="1">
      <c r="AF112" s="65" t="n"/>
    </row>
    <row r="113" ht="18" customHeight="1">
      <c r="AF113" s="65" t="n"/>
    </row>
    <row r="114" ht="18" customHeight="1">
      <c r="AF114" s="65" t="n"/>
    </row>
    <row r="115" ht="18" customHeight="1">
      <c r="AF115" s="65" t="n"/>
    </row>
    <row r="116" ht="18" customHeight="1">
      <c r="AF116" s="65" t="n"/>
    </row>
    <row r="117" ht="18" customHeight="1">
      <c r="AF117" s="65" t="n"/>
    </row>
    <row r="118" ht="18" customHeight="1">
      <c r="AF118" s="65" t="n"/>
    </row>
    <row r="119" ht="18" customHeight="1">
      <c r="AF119" s="65" t="n"/>
    </row>
    <row r="120" ht="18" customHeight="1">
      <c r="AF120" s="65" t="n"/>
    </row>
    <row r="121" ht="18" customHeight="1">
      <c r="AF121" s="65" t="n"/>
    </row>
    <row r="122" ht="18" customHeight="1">
      <c r="AF122" s="65" t="n"/>
    </row>
    <row r="123" ht="18" customHeight="1">
      <c r="AF123" s="65" t="n"/>
    </row>
    <row r="124" ht="18" customHeight="1">
      <c r="AF124" s="65" t="n"/>
    </row>
    <row r="125" ht="18" customHeight="1">
      <c r="AF125" s="65" t="n"/>
    </row>
    <row r="126" ht="18" customHeight="1">
      <c r="AF126" s="65" t="n"/>
    </row>
    <row r="127" ht="18" customHeight="1">
      <c r="AF127" s="65" t="n"/>
    </row>
    <row r="128" ht="18" customHeight="1">
      <c r="AF128" s="65" t="n"/>
    </row>
    <row r="129" ht="18" customHeight="1">
      <c r="AF129" s="65" t="n"/>
    </row>
    <row r="130" ht="18" customHeight="1">
      <c r="AF130" s="65" t="n"/>
    </row>
    <row r="131" ht="18" customHeight="1">
      <c r="AF131" s="65" t="n"/>
    </row>
    <row r="132" ht="18" customHeight="1">
      <c r="AF132" s="65" t="n"/>
    </row>
    <row r="133" ht="18" customHeight="1">
      <c r="AF133" s="65" t="n"/>
    </row>
    <row r="134" ht="18" customHeight="1">
      <c r="AF134" s="65" t="n"/>
    </row>
    <row r="135" ht="18" customHeight="1">
      <c r="AF135" s="65" t="n"/>
    </row>
    <row r="136" ht="18" customHeight="1">
      <c r="AF136" s="65" t="n"/>
    </row>
    <row r="137" ht="18" customHeight="1">
      <c r="AF137" s="65" t="n"/>
    </row>
    <row r="138" ht="18" customHeight="1">
      <c r="AF138" s="65" t="n"/>
    </row>
    <row r="139" ht="18" customHeight="1">
      <c r="AF139" s="65" t="n"/>
    </row>
    <row r="140" ht="18" customHeight="1">
      <c r="AF140" s="65" t="n"/>
    </row>
    <row r="141" ht="18" customHeight="1">
      <c r="AF141" s="65" t="n"/>
    </row>
    <row r="142" ht="18" customHeight="1">
      <c r="AF142" s="65" t="n"/>
    </row>
    <row r="143" ht="18" customHeight="1">
      <c r="AF143" s="65" t="n"/>
    </row>
    <row r="144" ht="18" customHeight="1">
      <c r="AF144" s="65" t="n"/>
    </row>
    <row r="145" ht="18" customHeight="1">
      <c r="AF145" s="65" t="n"/>
    </row>
    <row r="146" ht="18" customHeight="1">
      <c r="AF146" s="65" t="n"/>
    </row>
    <row r="147" ht="18" customHeight="1">
      <c r="AF147" s="65" t="n"/>
    </row>
    <row r="148" ht="18" customHeight="1">
      <c r="AF148" s="65" t="n"/>
    </row>
    <row r="149" ht="18" customHeight="1">
      <c r="AF149" s="65" t="n"/>
    </row>
    <row r="150" ht="18" customHeight="1">
      <c r="AF150" s="65" t="n"/>
    </row>
    <row r="151" ht="18" customHeight="1">
      <c r="AF151" s="65" t="n"/>
    </row>
    <row r="152" ht="18" customHeight="1">
      <c r="AF152" s="65" t="n"/>
    </row>
    <row r="153" ht="18" customHeight="1">
      <c r="AF153" s="65" t="n"/>
    </row>
    <row r="154" ht="18" customHeight="1">
      <c r="AF154" s="65" t="n"/>
    </row>
    <row r="155" ht="18" customHeight="1">
      <c r="AF155" s="65" t="n"/>
    </row>
    <row r="156" ht="18" customHeight="1">
      <c r="AF156" s="65" t="n"/>
    </row>
    <row r="157" ht="18" customHeight="1">
      <c r="AF157" s="65" t="n"/>
    </row>
    <row r="158" ht="18" customHeight="1">
      <c r="AF158" s="65" t="n"/>
    </row>
    <row r="159" ht="18" customHeight="1">
      <c r="AF159" s="65" t="n"/>
    </row>
    <row r="160" ht="18" customHeight="1">
      <c r="AF160" s="65" t="n"/>
    </row>
    <row r="161" ht="18" customHeight="1">
      <c r="AF161" s="65" t="n"/>
    </row>
    <row r="162" ht="18" customHeight="1">
      <c r="AF162" s="65" t="n"/>
    </row>
    <row r="163" ht="18" customHeight="1">
      <c r="AF163" s="65" t="n"/>
    </row>
    <row r="164" ht="18" customHeight="1">
      <c r="AF164" s="65" t="n"/>
    </row>
    <row r="165" ht="18" customHeight="1">
      <c r="AF165" s="65" t="n"/>
    </row>
    <row r="166" ht="18" customHeight="1">
      <c r="AF166" s="65" t="n"/>
    </row>
    <row r="167" ht="18" customHeight="1">
      <c r="AF167" s="65" t="n"/>
    </row>
    <row r="168" ht="18" customHeight="1">
      <c r="AF168" s="65" t="n"/>
    </row>
    <row r="169" ht="18" customHeight="1">
      <c r="AF169" s="65" t="n"/>
    </row>
    <row r="170" ht="18" customHeight="1">
      <c r="AF170" s="65" t="n"/>
    </row>
    <row r="171" ht="18" customHeight="1">
      <c r="AF171" s="65" t="n"/>
    </row>
    <row r="172" ht="18" customHeight="1">
      <c r="AF172" s="65" t="n"/>
    </row>
    <row r="173" ht="18" customHeight="1">
      <c r="AF173" s="65" t="n"/>
    </row>
    <row r="174" ht="18" customHeight="1">
      <c r="AF174" s="65" t="n"/>
    </row>
    <row r="175" ht="18" customHeight="1">
      <c r="AF175" s="65" t="n"/>
    </row>
    <row r="176" ht="18" customHeight="1">
      <c r="AF176" s="65" t="n"/>
    </row>
    <row r="177" ht="18" customHeight="1">
      <c r="AF177" s="65" t="n"/>
    </row>
    <row r="178" ht="18" customHeight="1">
      <c r="AF178" s="65" t="n"/>
    </row>
    <row r="179" ht="18" customHeight="1">
      <c r="AF179" s="65" t="n"/>
    </row>
    <row r="180" ht="18" customHeight="1">
      <c r="AF180" s="65" t="n"/>
    </row>
    <row r="181" ht="18" customHeight="1">
      <c r="AF181" s="65" t="n"/>
    </row>
    <row r="182" ht="18" customHeight="1">
      <c r="AF182" s="65" t="n"/>
    </row>
    <row r="183" ht="18" customHeight="1">
      <c r="AF183" s="65" t="n"/>
    </row>
    <row r="184" ht="18" customHeight="1">
      <c r="AF184" s="65" t="n"/>
    </row>
    <row r="185" ht="18" customHeight="1">
      <c r="AF185" s="65" t="n"/>
    </row>
    <row r="186" ht="18" customHeight="1">
      <c r="AF186" s="65" t="n"/>
    </row>
    <row r="187" ht="18" customHeight="1">
      <c r="AF187" s="65" t="n"/>
    </row>
    <row r="188" ht="18" customHeight="1">
      <c r="AF188" s="65" t="n"/>
    </row>
    <row r="189" ht="18" customHeight="1">
      <c r="AF189" s="65" t="n"/>
    </row>
    <row r="190" ht="18" customHeight="1">
      <c r="AF190" s="65" t="n"/>
    </row>
    <row r="191" ht="18" customHeight="1">
      <c r="AF191" s="65" t="n"/>
    </row>
    <row r="192" ht="18" customHeight="1">
      <c r="AF192" s="65" t="n"/>
    </row>
    <row r="193" ht="18" customHeight="1">
      <c r="AF193" s="65" t="n"/>
    </row>
    <row r="194" ht="18" customHeight="1">
      <c r="AF194" s="65" t="n"/>
    </row>
    <row r="195" ht="18" customHeight="1">
      <c r="AF195" s="65" t="n"/>
    </row>
    <row r="196" ht="18" customHeight="1">
      <c r="AF196" s="65" t="n"/>
    </row>
    <row r="197" ht="18" customHeight="1">
      <c r="AF197" s="65" t="n"/>
    </row>
    <row r="198" ht="18" customHeight="1">
      <c r="AF198" s="65" t="n"/>
    </row>
    <row r="199" ht="18" customHeight="1">
      <c r="AF199" s="65" t="n"/>
    </row>
    <row r="200" ht="18" customHeight="1">
      <c r="AF200" s="65" t="n"/>
    </row>
    <row r="201" ht="18" customHeight="1">
      <c r="AF201" s="65" t="n"/>
    </row>
    <row r="202" ht="18" customHeight="1">
      <c r="AF202" s="65" t="n"/>
    </row>
    <row r="203" ht="18" customHeight="1">
      <c r="AF203" s="65" t="n"/>
    </row>
    <row r="204" ht="18" customHeight="1">
      <c r="AF204" s="65" t="n"/>
    </row>
    <row r="205" ht="18" customHeight="1">
      <c r="AF205" s="65" t="n"/>
    </row>
    <row r="206" ht="18" customHeight="1">
      <c r="AF206" s="65" t="n"/>
    </row>
    <row r="207" ht="18" customHeight="1">
      <c r="AF207" s="65" t="n"/>
    </row>
    <row r="208" ht="18" customHeight="1">
      <c r="AF208" s="65" t="n"/>
    </row>
    <row r="209" ht="18" customHeight="1">
      <c r="AF209" s="65" t="n"/>
    </row>
    <row r="210" ht="18" customHeight="1">
      <c r="AF210" s="65" t="n"/>
    </row>
    <row r="211" ht="18" customHeight="1">
      <c r="AF211" s="65" t="n"/>
    </row>
    <row r="212" ht="18" customHeight="1">
      <c r="AF212" s="65" t="n"/>
    </row>
    <row r="213" ht="18" customHeight="1">
      <c r="AF213" s="65" t="n"/>
    </row>
    <row r="214" ht="18" customHeight="1">
      <c r="AF214" s="65" t="n"/>
    </row>
    <row r="215" ht="18" customHeight="1">
      <c r="AF215" s="65" t="n"/>
    </row>
    <row r="216" ht="18" customHeight="1">
      <c r="AF216" s="65" t="n"/>
    </row>
    <row r="217" ht="18" customHeight="1">
      <c r="AF217" s="65" t="n"/>
    </row>
    <row r="218" ht="18" customHeight="1">
      <c r="AF218" s="65" t="n"/>
    </row>
    <row r="219" ht="18" customHeight="1">
      <c r="AF219" s="65" t="n"/>
    </row>
    <row r="220" ht="18" customHeight="1">
      <c r="AF220" s="65" t="n"/>
    </row>
    <row r="221" ht="18" customHeight="1">
      <c r="AF221" s="65" t="n"/>
    </row>
    <row r="222" ht="18" customHeight="1">
      <c r="AF222" s="65" t="n"/>
    </row>
    <row r="223" ht="18" customHeight="1">
      <c r="AF223" s="65" t="n"/>
    </row>
    <row r="224" ht="18" customHeight="1">
      <c r="AF224" s="65" t="n"/>
    </row>
    <row r="225" ht="18" customHeight="1">
      <c r="AF225" s="65" t="n"/>
    </row>
    <row r="226" ht="18" customHeight="1">
      <c r="AF226" s="65" t="n"/>
    </row>
    <row r="227" ht="18" customHeight="1">
      <c r="AF227" s="65" t="n"/>
    </row>
    <row r="228" ht="18" customHeight="1">
      <c r="AF228" s="65" t="n"/>
    </row>
    <row r="229" ht="18" customHeight="1">
      <c r="AF229" s="65" t="n"/>
    </row>
    <row r="230" ht="18" customHeight="1">
      <c r="AF230" s="65" t="n"/>
    </row>
    <row r="231" ht="18" customHeight="1">
      <c r="AF231" s="65" t="n"/>
    </row>
    <row r="232" ht="18" customHeight="1">
      <c r="AF232" s="65" t="n"/>
    </row>
    <row r="233" ht="18" customHeight="1">
      <c r="AF233" s="65" t="n"/>
    </row>
    <row r="234" ht="18" customHeight="1">
      <c r="AF234" s="65" t="n"/>
    </row>
    <row r="235" ht="18" customHeight="1">
      <c r="AF235" s="65" t="n"/>
    </row>
    <row r="236" ht="18" customHeight="1">
      <c r="AF236" s="65" t="n"/>
    </row>
    <row r="237" ht="18" customHeight="1">
      <c r="AF237" s="65" t="n"/>
    </row>
    <row r="238" ht="18" customHeight="1">
      <c r="AF238" s="65" t="n"/>
    </row>
    <row r="239" ht="18" customHeight="1">
      <c r="AF239" s="65" t="n"/>
    </row>
    <row r="240" ht="18" customHeight="1">
      <c r="AF240" s="65" t="n"/>
    </row>
    <row r="241" ht="18" customHeight="1">
      <c r="AF241" s="65" t="n"/>
    </row>
    <row r="242" ht="18" customHeight="1">
      <c r="AF242" s="65" t="n"/>
    </row>
    <row r="243" ht="18" customHeight="1">
      <c r="AF243" s="65" t="n"/>
    </row>
    <row r="244" ht="18" customHeight="1">
      <c r="AF244" s="65" t="n"/>
    </row>
    <row r="245" ht="18" customHeight="1">
      <c r="AF245" s="65" t="n"/>
    </row>
    <row r="246" ht="18" customHeight="1">
      <c r="AF246" s="65" t="n"/>
    </row>
    <row r="247" ht="18" customHeight="1">
      <c r="AF247" s="65" t="n"/>
    </row>
    <row r="248" ht="18" customHeight="1">
      <c r="AF248" s="65" t="n"/>
    </row>
    <row r="249" ht="18" customHeight="1">
      <c r="AF249" s="65" t="n"/>
    </row>
    <row r="250" ht="18" customHeight="1">
      <c r="AF250" s="65" t="n"/>
    </row>
    <row r="251" ht="18" customHeight="1">
      <c r="AF251" s="65" t="n"/>
    </row>
    <row r="252" ht="18" customHeight="1">
      <c r="AF252" s="65" t="n"/>
    </row>
    <row r="253" ht="18" customHeight="1">
      <c r="AF253" s="65" t="n"/>
    </row>
    <row r="254" ht="18" customHeight="1">
      <c r="AF254" s="65" t="n"/>
    </row>
    <row r="255" ht="18" customHeight="1">
      <c r="AF255" s="65" t="n"/>
    </row>
    <row r="256" ht="18" customHeight="1">
      <c r="AF256" s="65" t="n"/>
    </row>
    <row r="257" ht="18" customHeight="1">
      <c r="AF257" s="65" t="n"/>
    </row>
    <row r="258" ht="18" customHeight="1">
      <c r="AF258" s="65" t="n"/>
    </row>
    <row r="259" ht="18" customHeight="1">
      <c r="AF259" s="65" t="n"/>
    </row>
    <row r="260" ht="18" customHeight="1">
      <c r="AF260" s="65" t="n"/>
    </row>
    <row r="261" ht="18" customHeight="1">
      <c r="AF261" s="65" t="n"/>
    </row>
    <row r="262" ht="18" customHeight="1">
      <c r="AF262" s="65" t="n"/>
    </row>
    <row r="263" ht="18" customHeight="1">
      <c r="AF263" s="65" t="n"/>
    </row>
    <row r="264" ht="18" customHeight="1">
      <c r="AF264" s="65" t="n"/>
    </row>
    <row r="265" ht="18" customHeight="1">
      <c r="AF265" s="65" t="n"/>
    </row>
    <row r="266" ht="18" customHeight="1">
      <c r="AF266" s="65" t="n"/>
    </row>
    <row r="267" ht="18" customHeight="1">
      <c r="AF267" s="65" t="n"/>
    </row>
    <row r="268" ht="18" customHeight="1">
      <c r="AF268" s="65" t="n"/>
    </row>
    <row r="269" ht="18" customHeight="1">
      <c r="AF269" s="65" t="n"/>
    </row>
    <row r="270" ht="18" customHeight="1">
      <c r="AF270" s="65" t="n"/>
    </row>
    <row r="271" ht="18" customHeight="1">
      <c r="AF271" s="65" t="n"/>
    </row>
    <row r="272" ht="18" customHeight="1">
      <c r="AF272" s="65" t="n"/>
    </row>
    <row r="273" ht="18" customHeight="1">
      <c r="AF273" s="65" t="n"/>
    </row>
    <row r="274" ht="18" customHeight="1">
      <c r="AF274" s="65" t="n"/>
    </row>
    <row r="275" ht="18" customHeight="1">
      <c r="AF275" s="65" t="n"/>
    </row>
    <row r="276" ht="18" customHeight="1">
      <c r="AF276" s="65" t="n"/>
    </row>
    <row r="277" ht="18" customHeight="1">
      <c r="AF277" s="65" t="n"/>
    </row>
    <row r="278" ht="18" customHeight="1">
      <c r="AF278" s="65" t="n"/>
    </row>
    <row r="279" ht="18" customHeight="1">
      <c r="AF279" s="65" t="n"/>
    </row>
    <row r="280" ht="18" customHeight="1">
      <c r="AF280" s="65" t="n"/>
    </row>
    <row r="281" ht="18" customHeight="1">
      <c r="AF281" s="65" t="n"/>
    </row>
    <row r="282" ht="18" customHeight="1">
      <c r="AF282" s="65" t="n"/>
    </row>
    <row r="283" ht="18" customHeight="1">
      <c r="AF283" s="65" t="n"/>
    </row>
    <row r="284" ht="18" customHeight="1">
      <c r="AF284" s="65" t="n"/>
    </row>
    <row r="285" ht="18" customHeight="1">
      <c r="AF285" s="65" t="n"/>
    </row>
    <row r="286" ht="18" customHeight="1">
      <c r="AF286" s="65" t="n"/>
    </row>
    <row r="287" ht="18" customHeight="1">
      <c r="AF287" s="65" t="n"/>
    </row>
    <row r="288" ht="18" customHeight="1">
      <c r="AF288" s="65" t="n"/>
    </row>
    <row r="289" ht="18" customHeight="1">
      <c r="AF289" s="65" t="n"/>
    </row>
    <row r="290" ht="18" customHeight="1">
      <c r="AF290" s="65" t="n"/>
    </row>
    <row r="291" ht="18" customHeight="1">
      <c r="AF291" s="65" t="n"/>
    </row>
    <row r="292" ht="18" customHeight="1">
      <c r="AF292" s="65" t="n"/>
    </row>
    <row r="293" ht="18" customHeight="1">
      <c r="AF293" s="65" t="n"/>
    </row>
    <row r="294" ht="18" customHeight="1">
      <c r="AF294" s="65" t="n"/>
    </row>
    <row r="295" ht="18" customHeight="1">
      <c r="AF295" s="65" t="n"/>
    </row>
    <row r="296" ht="18" customHeight="1">
      <c r="AF296" s="65" t="n"/>
    </row>
    <row r="297" ht="18" customHeight="1">
      <c r="AF297" s="65" t="n"/>
    </row>
    <row r="298" ht="18" customHeight="1">
      <c r="AF298" s="65" t="n"/>
    </row>
    <row r="299" ht="18" customHeight="1">
      <c r="AF299" s="65" t="n"/>
    </row>
    <row r="300" ht="18" customHeight="1">
      <c r="AF300" s="65" t="n"/>
    </row>
    <row r="301" ht="18" customHeight="1">
      <c r="AF301" s="65" t="n"/>
    </row>
    <row r="302" ht="18" customHeight="1">
      <c r="AF302" s="65" t="n"/>
    </row>
    <row r="303" ht="18" customHeight="1">
      <c r="AF303" s="65" t="n"/>
    </row>
    <row r="304" ht="18" customHeight="1">
      <c r="AF304" s="65" t="n"/>
    </row>
    <row r="305" ht="18" customHeight="1">
      <c r="AF305" s="65" t="n"/>
    </row>
    <row r="306" ht="18" customHeight="1">
      <c r="AF306" s="65" t="n"/>
    </row>
    <row r="307" ht="18" customHeight="1">
      <c r="AF307" s="65" t="n"/>
    </row>
    <row r="308" ht="18" customHeight="1">
      <c r="AF308" s="65" t="n"/>
    </row>
    <row r="309" ht="18" customHeight="1">
      <c r="AF309" s="65" t="n"/>
    </row>
    <row r="310" ht="18" customHeight="1">
      <c r="AF310" s="65" t="n"/>
    </row>
    <row r="311" ht="18" customHeight="1">
      <c r="AF311" s="65" t="n"/>
    </row>
    <row r="312" ht="18" customHeight="1">
      <c r="AF312" s="65" t="n"/>
    </row>
    <row r="313" ht="18" customHeight="1">
      <c r="AF313" s="65" t="n"/>
    </row>
    <row r="314" ht="18" customHeight="1">
      <c r="AF314" s="65" t="n"/>
    </row>
    <row r="315" ht="18" customHeight="1">
      <c r="AF315" s="65" t="n"/>
    </row>
    <row r="316" ht="18" customHeight="1">
      <c r="AF316" s="65" t="n"/>
    </row>
    <row r="317" ht="18" customHeight="1">
      <c r="AF317" s="65" t="n"/>
    </row>
    <row r="318" ht="18" customHeight="1">
      <c r="AF318" s="65" t="n"/>
    </row>
  </sheetData>
  <mergeCells count="11">
    <mergeCell ref="D8:E8"/>
    <mergeCell ref="D6:E6"/>
    <mergeCell ref="D7:E7"/>
    <mergeCell ref="L6:M6"/>
    <mergeCell ref="D13:E13"/>
    <mergeCell ref="B2:O4"/>
    <mergeCell ref="D14:E14"/>
    <mergeCell ref="D11:G11"/>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$AZ$2:$AZ$4</formula1>
    </dataValidation>
  </dataValidations>
  <pageMargins left="0.7" right="0.7" top="0.75" bottom="0.75" header="0.3" footer="0.3"/>
  <pageSetup orientation="landscape"/>
  <drawing xmlns:r="http://schemas.openxmlformats.org/officeDocument/2006/relationships" r:id="rId1"/>
  <legacyDrawing xmlns:r="http://schemas.openxmlformats.org/officeDocument/2006/relationships" r:id="anysvml"/>
</worksheet>
</file>

<file path=xl/worksheets/sheet27.xml><?xml version="1.0" encoding="utf-8"?>
<worksheet xmlns="http://schemas.openxmlformats.org/spreadsheetml/2006/main">
  <sheetPr>
    <tabColor rgb="FFFF0000"/>
    <outlinePr summaryBelow="1" summaryRight="1"/>
    <pageSetUpPr/>
  </sheetPr>
  <dimension ref="A1:AY68"/>
  <sheetViews>
    <sheetView topLeftCell="B1" zoomScale="112" zoomScaleNormal="115" workbookViewId="0">
      <pane ySplit="1" topLeftCell="A11" activePane="bottomLeft" state="frozen"/>
      <selection pane="bottomLeft" activeCell="P37" sqref="P37"/>
      <selection activeCell="B1" sqref="B1"/>
    </sheetView>
  </sheetViews>
  <sheetFormatPr baseColWidth="8" defaultRowHeight="15"/>
  <cols>
    <col width="20.85546875" bestFit="1" customWidth="1" min="3" max="3"/>
    <col width="14.42578125" customWidth="1" min="5" max="5"/>
    <col width="16.85546875" customWidth="1" min="6" max="6"/>
    <col width="10.42578125" bestFit="1" customWidth="1" min="14" max="14"/>
    <col width="29.42578125"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5.28515625" bestFit="1" customWidth="1" min="36" max="36"/>
    <col width="33.42578125" bestFit="1" customWidth="1" min="37" max="37"/>
    <col width="28.140625" bestFit="1" customWidth="1" min="38" max="38"/>
    <col width="28.7109375" bestFit="1" customWidth="1" min="39" max="39"/>
    <col width="25.2851562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45"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280" t="inlineStr">
        <is>
          <t>UALS 2025 (12.1): 12/01-12/08</t>
        </is>
      </c>
      <c r="S2" s="71">
        <f>(T2+Y2+Z2)</f>
        <v/>
      </c>
      <c r="T2" s="46">
        <f>(U2+V2)</f>
        <v/>
      </c>
      <c r="U2" s="70" t="n">
        <v>4</v>
      </c>
      <c r="V2" s="46" t="n">
        <v>12</v>
      </c>
      <c r="W2" s="71" t="n">
        <v>2</v>
      </c>
      <c r="X2" s="46" t="n">
        <v>15</v>
      </c>
      <c r="Y2" s="46" t="n">
        <v>5</v>
      </c>
      <c r="Z2" s="46" t="n">
        <v>30</v>
      </c>
      <c r="AA2" s="46">
        <f>U2-W2</f>
        <v/>
      </c>
      <c r="AB2" s="291">
        <f>IF(U3,W3/U3,0)</f>
        <v/>
      </c>
      <c r="AC2" s="47">
        <f>X2/V2</f>
        <v/>
      </c>
      <c r="AD2" s="47">
        <f>IF(U2,Y2/U2,0)</f>
        <v/>
      </c>
      <c r="AE2" s="47">
        <f>IF(V2,Z2/V2,0)</f>
        <v/>
      </c>
      <c r="AF2" s="47">
        <f>T2/S2</f>
        <v/>
      </c>
      <c r="AG2" s="46" t="n"/>
      <c r="AJ2" s="2" t="inlineStr">
        <is>
          <t>UALS 2026 (1.4): 1/20-1/26</t>
        </is>
      </c>
      <c r="AK2" t="n">
        <v>0</v>
      </c>
      <c r="AL2" t="n">
        <v>14</v>
      </c>
      <c r="AN2" s="2" t="inlineStr">
        <is>
          <t>UALS 2026 (1.4): 1/20-1/26</t>
        </is>
      </c>
      <c r="AO2" t="n">
        <v>0</v>
      </c>
      <c r="AP2" t="n">
        <v>0</v>
      </c>
      <c r="AU2" t="inlineStr">
        <is>
          <t>Green</t>
        </is>
      </c>
      <c r="AW2" s="250" t="n"/>
      <c r="AX2" s="124" t="n"/>
      <c r="AY2" s="251" t="n"/>
    </row>
    <row r="3">
      <c r="B3" s="17" t="n"/>
      <c r="O3" s="10" t="n"/>
      <c r="R3" s="280" t="inlineStr">
        <is>
          <t>UALS 2025 (12.2): 12/08-12/15</t>
        </is>
      </c>
      <c r="S3" s="71">
        <f>(T3+Y3+Z3)</f>
        <v/>
      </c>
      <c r="T3" s="46">
        <f>(U3+V3)</f>
        <v/>
      </c>
      <c r="U3" s="70" t="n">
        <v>0</v>
      </c>
      <c r="V3" s="46" t="n">
        <v>0</v>
      </c>
      <c r="W3" s="71" t="n">
        <v>0</v>
      </c>
      <c r="X3" s="46" t="n">
        <v>0</v>
      </c>
      <c r="Y3" s="46" t="n">
        <v>5</v>
      </c>
      <c r="Z3" s="46" t="n">
        <v>46</v>
      </c>
      <c r="AA3" s="46">
        <f>U3-W3</f>
        <v/>
      </c>
      <c r="AB3" s="291">
        <f>IF(U4,W4/U4,0)</f>
        <v/>
      </c>
      <c r="AC3" s="47">
        <f>X3/V3</f>
        <v/>
      </c>
      <c r="AD3" s="47">
        <f>IF(U3,Y3/U3,0)</f>
        <v/>
      </c>
      <c r="AE3" s="47">
        <f>IF(V3,Z3/V3,0)</f>
        <v/>
      </c>
      <c r="AF3" s="47">
        <f>T3/S3</f>
        <v/>
      </c>
      <c r="AG3" s="46" t="n"/>
      <c r="AJ3" s="2" t="inlineStr">
        <is>
          <t>UALS 2026 (1.5): 1/26-2/02</t>
        </is>
      </c>
      <c r="AK3" t="n">
        <v>0</v>
      </c>
      <c r="AL3" t="n">
        <v>13</v>
      </c>
      <c r="AN3" s="2" t="inlineStr">
        <is>
          <t>UALS 2026 (1.5): 1/26-2/02</t>
        </is>
      </c>
      <c r="AO3" t="n">
        <v>0</v>
      </c>
      <c r="AP3" t="n">
        <v>0</v>
      </c>
      <c r="AU3" t="inlineStr">
        <is>
          <t>Red</t>
        </is>
      </c>
      <c r="AW3" s="250" t="n"/>
      <c r="AX3" s="124" t="n"/>
      <c r="AY3" s="251" t="n"/>
    </row>
    <row r="4">
      <c r="B4" s="17" t="n"/>
      <c r="O4" s="10" t="n"/>
      <c r="R4" s="280" t="inlineStr">
        <is>
          <t>UALS 2025 (12.3): 12/15-12/22</t>
        </is>
      </c>
      <c r="S4" s="71">
        <f>(T4+Y4+Z4)</f>
        <v/>
      </c>
      <c r="T4" s="46">
        <f>(U4+V4)</f>
        <v/>
      </c>
      <c r="U4" s="70" t="n">
        <v>0</v>
      </c>
      <c r="V4" s="46" t="n">
        <v>22</v>
      </c>
      <c r="W4" s="71" t="n">
        <v>1</v>
      </c>
      <c r="X4" s="46" t="n">
        <v>5</v>
      </c>
      <c r="Y4" s="46" t="n">
        <v>6</v>
      </c>
      <c r="Z4" s="46" t="n">
        <v>45</v>
      </c>
      <c r="AA4" s="46">
        <f>U4-W4</f>
        <v/>
      </c>
      <c r="AB4" s="291">
        <f>IF(U5,W5/U5,0)</f>
        <v/>
      </c>
      <c r="AC4" s="47">
        <f>X4/V4</f>
        <v/>
      </c>
      <c r="AD4" s="47">
        <f>IF(U4,Y4/U4,0)</f>
        <v/>
      </c>
      <c r="AE4" s="47">
        <f>IF(V4,Z4/V4,0)</f>
        <v/>
      </c>
      <c r="AF4" s="47">
        <f>T4/S4</f>
        <v/>
      </c>
      <c r="AG4" s="46" t="n"/>
      <c r="AJ4" s="2" t="inlineStr">
        <is>
          <t>UALS 2026 (2.1): 2/02-2/09</t>
        </is>
      </c>
      <c r="AK4" t="n">
        <v>1</v>
      </c>
      <c r="AL4" t="n">
        <v>17</v>
      </c>
      <c r="AN4" s="2" t="inlineStr">
        <is>
          <t>UALS 2026 (2.1): 2/02-2/09</t>
        </is>
      </c>
      <c r="AO4" t="n">
        <v>0</v>
      </c>
      <c r="AP4" t="n">
        <v>1</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280" t="inlineStr">
        <is>
          <t>UALS 2025 (12.4): 12/22-01/05</t>
        </is>
      </c>
      <c r="S5" s="71">
        <f>(T5+Y5+Z5)</f>
        <v/>
      </c>
      <c r="T5" s="46">
        <f>(U5+V5)</f>
        <v/>
      </c>
      <c r="U5" s="70" t="n">
        <v>2</v>
      </c>
      <c r="V5" s="46" t="n">
        <v>13</v>
      </c>
      <c r="W5" s="71" t="n">
        <v>3</v>
      </c>
      <c r="X5" s="46" t="n">
        <v>9</v>
      </c>
      <c r="Y5" s="46" t="n">
        <v>7</v>
      </c>
      <c r="Z5" s="46" t="n">
        <v>40</v>
      </c>
      <c r="AA5" s="46">
        <f>U5-W5</f>
        <v/>
      </c>
      <c r="AB5" s="291">
        <f>IF(U6,W6/U6,0)</f>
        <v/>
      </c>
      <c r="AC5" s="47">
        <f>X5/V5</f>
        <v/>
      </c>
      <c r="AD5" s="47">
        <f>IF(U5,Y5/U5,0)</f>
        <v/>
      </c>
      <c r="AE5" s="47">
        <f>IF(V5,Z5/V5,0)</f>
        <v/>
      </c>
      <c r="AF5" s="47">
        <f>T5/S5</f>
        <v/>
      </c>
      <c r="AG5" s="46" t="n"/>
      <c r="AJ5" s="2" t="inlineStr">
        <is>
          <t>UALS 2026 (2.2): 2/09-2/23</t>
        </is>
      </c>
      <c r="AK5" t="n">
        <v>5</v>
      </c>
      <c r="AL5" t="n">
        <v>23</v>
      </c>
      <c r="AN5" s="2" t="inlineStr">
        <is>
          <t>UALS 2026 (2.2): 2/09-2/23</t>
        </is>
      </c>
      <c r="AO5" t="n">
        <v>0</v>
      </c>
      <c r="AP5" t="n">
        <v>5</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46118</v>
      </c>
      <c r="O6" s="206" t="n"/>
      <c r="R6" s="280" t="inlineStr">
        <is>
          <t>UALS 2026 (1.2): 01/05-01/12</t>
        </is>
      </c>
      <c r="S6" s="71">
        <f>(T6+Y6+Z6)</f>
        <v/>
      </c>
      <c r="T6" s="46">
        <f>(U6+V6)</f>
        <v/>
      </c>
      <c r="U6" s="70" t="n">
        <v>9</v>
      </c>
      <c r="V6" s="46" t="n">
        <v>23</v>
      </c>
      <c r="W6" s="71" t="n">
        <v>5</v>
      </c>
      <c r="X6" s="46" t="n">
        <v>8</v>
      </c>
      <c r="Y6" s="46" t="n">
        <v>0</v>
      </c>
      <c r="Z6" s="46" t="n">
        <v>35</v>
      </c>
      <c r="AA6" s="46">
        <f>U6-W6</f>
        <v/>
      </c>
      <c r="AB6" s="291">
        <f>IF(U7,W7/U7,0)</f>
        <v/>
      </c>
      <c r="AC6" s="47">
        <f>X6/V6</f>
        <v/>
      </c>
      <c r="AD6" s="47">
        <f>IF(U6,Y6/U6,0)</f>
        <v/>
      </c>
      <c r="AE6" s="47">
        <f>IF(V6,Z6/V6,0)</f>
        <v/>
      </c>
      <c r="AF6" s="47">
        <f>T6/S6</f>
        <v/>
      </c>
      <c r="AG6" s="46" t="n"/>
      <c r="AJ6" s="2" t="inlineStr">
        <is>
          <t>UALS 2026 (3.1): 2/23-3/09</t>
        </is>
      </c>
      <c r="AK6" t="n">
        <v>4</v>
      </c>
      <c r="AL6" t="n">
        <v>40</v>
      </c>
      <c r="AN6" s="2" t="inlineStr">
        <is>
          <t>UALS 2026 (3.1): 2/23-3/09</t>
        </is>
      </c>
      <c r="AO6" t="n">
        <v>4</v>
      </c>
      <c r="AP6" t="n">
        <v>0</v>
      </c>
      <c r="AW6" s="250" t="n"/>
      <c r="AX6" s="124" t="n"/>
      <c r="AY6" s="251" t="n"/>
    </row>
    <row r="7">
      <c r="B7" s="202" t="n"/>
      <c r="C7" s="100" t="inlineStr">
        <is>
          <t>Sub Project</t>
        </is>
      </c>
      <c r="D7" s="304" t="inlineStr">
        <is>
          <t>Unified Agent Led Shopping</t>
        </is>
      </c>
      <c r="F7" s="225" t="n"/>
      <c r="G7" s="225" t="n"/>
      <c r="H7" s="207" t="n"/>
      <c r="I7" s="207" t="n"/>
      <c r="J7" s="208" t="n"/>
      <c r="K7" s="208" t="n"/>
      <c r="L7" s="209" t="n"/>
      <c r="M7" s="209" t="n"/>
      <c r="N7" s="209" t="n"/>
      <c r="O7" s="206" t="n"/>
      <c r="R7" s="280" t="inlineStr">
        <is>
          <t>UALS 2026 (1.3): 01/12-01/19</t>
        </is>
      </c>
      <c r="S7" s="71">
        <f>(T7+Y7+Z7)</f>
        <v/>
      </c>
      <c r="T7" s="46">
        <f>(U7+V7)</f>
        <v/>
      </c>
      <c r="U7" s="70" t="n">
        <v>2</v>
      </c>
      <c r="V7" s="46" t="n">
        <v>10</v>
      </c>
      <c r="W7" s="71" t="n">
        <v>2</v>
      </c>
      <c r="X7" s="46" t="n">
        <v>11</v>
      </c>
      <c r="Y7" s="46" t="n">
        <v>0</v>
      </c>
      <c r="Z7" s="46" t="n">
        <v>36</v>
      </c>
      <c r="AA7" s="46">
        <f>U7-W7</f>
        <v/>
      </c>
      <c r="AB7" s="291">
        <f>IF(U8,W8/U8,0)</f>
        <v/>
      </c>
      <c r="AC7" s="47">
        <f>X7/V7</f>
        <v/>
      </c>
      <c r="AD7" s="47">
        <f>IF(U7,Y7/U7,0)</f>
        <v/>
      </c>
      <c r="AE7" s="47">
        <f>IF(V7,Z7/V7,0)</f>
        <v/>
      </c>
      <c r="AF7" s="47">
        <f>T7/S7</f>
        <v/>
      </c>
      <c r="AG7" s="46" t="n"/>
      <c r="AJ7" s="2" t="inlineStr">
        <is>
          <t>UALS 2026 (3.2): 3/09-3/23</t>
        </is>
      </c>
      <c r="AK7" t="n">
        <v>12</v>
      </c>
      <c r="AL7" t="n">
        <v>27</v>
      </c>
      <c r="AN7" s="2" t="inlineStr">
        <is>
          <t>UALS 2026 (3.2): 3/09-3/23</t>
        </is>
      </c>
      <c r="AO7" t="n">
        <v>4</v>
      </c>
      <c r="AP7" t="n">
        <v>8</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280" t="inlineStr">
        <is>
          <t>UALS 2026 (1.4): 1/20-1/26</t>
        </is>
      </c>
      <c r="S8" s="71">
        <f>(T8+Y8+Z8)</f>
        <v/>
      </c>
      <c r="T8" s="46">
        <f>(U8+V8)</f>
        <v/>
      </c>
      <c r="U8" s="70" t="n">
        <v>0</v>
      </c>
      <c r="V8" s="46" t="n">
        <v>14</v>
      </c>
      <c r="W8" s="71" t="n">
        <v>0</v>
      </c>
      <c r="X8" s="46" t="n">
        <v>13</v>
      </c>
      <c r="Y8" s="46" t="n">
        <v>5</v>
      </c>
      <c r="Z8" s="46" t="n">
        <v>38</v>
      </c>
      <c r="AA8" s="46">
        <f>U8-W8</f>
        <v/>
      </c>
      <c r="AB8" s="291">
        <f>IF(U9,W9/U9,0)</f>
        <v/>
      </c>
      <c r="AC8" s="47">
        <f>X8/V8</f>
        <v/>
      </c>
      <c r="AD8" s="47">
        <f>IF(U8,Y8/U8,0)</f>
        <v/>
      </c>
      <c r="AE8" s="47">
        <f>IF(V8,Z8/V8,0)</f>
        <v/>
      </c>
      <c r="AF8" s="47">
        <f>T8/S8</f>
        <v/>
      </c>
      <c r="AG8" s="46" t="n"/>
      <c r="AJ8" s="2" t="inlineStr">
        <is>
          <t>Grand Total</t>
        </is>
      </c>
      <c r="AK8" t="n">
        <v>22</v>
      </c>
      <c r="AL8" t="n">
        <v>134</v>
      </c>
      <c r="AN8" s="2" t="inlineStr">
        <is>
          <t>Grand Total</t>
        </is>
      </c>
      <c r="AO8" t="n">
        <v>8</v>
      </c>
      <c r="AP8" t="n">
        <v>14</v>
      </c>
      <c r="AW8" s="250" t="n"/>
      <c r="AX8" s="124" t="n"/>
      <c r="AY8" s="251" t="n"/>
    </row>
    <row r="9">
      <c r="B9" s="202" t="n"/>
      <c r="C9" s="100" t="inlineStr">
        <is>
          <t>Project Manager/Lead</t>
        </is>
      </c>
      <c r="D9" s="304" t="inlineStr">
        <is>
          <t>Payal Butala</t>
        </is>
      </c>
      <c r="F9" s="203" t="n"/>
      <c r="G9" s="203" t="n"/>
      <c r="H9" s="205" t="n"/>
      <c r="I9" s="205" t="n"/>
      <c r="J9" s="205" t="n"/>
      <c r="K9" s="205" t="n"/>
      <c r="L9" s="205" t="n"/>
      <c r="M9" s="205" t="n"/>
      <c r="N9" s="205" t="n"/>
      <c r="O9" s="206" t="n"/>
      <c r="R9" s="280" t="inlineStr">
        <is>
          <t>UALS 2026 (1.5): 1/26-2/02</t>
        </is>
      </c>
      <c r="S9" s="71">
        <f>(T9+Y9+Z9)</f>
        <v/>
      </c>
      <c r="T9" s="46">
        <f>(U9+V9)</f>
        <v/>
      </c>
      <c r="U9" s="70" t="n">
        <v>0</v>
      </c>
      <c r="V9" s="46" t="n">
        <v>13</v>
      </c>
      <c r="W9" s="71" t="n">
        <v>0</v>
      </c>
      <c r="X9" s="46" t="n">
        <v>18</v>
      </c>
      <c r="Y9" s="46" t="n">
        <v>0</v>
      </c>
      <c r="Z9" s="46" t="n">
        <v>36</v>
      </c>
      <c r="AA9" s="46">
        <f>U9-W9</f>
        <v/>
      </c>
      <c r="AB9" s="291">
        <f>IF(U10,W10/U10,0)</f>
        <v/>
      </c>
      <c r="AC9" s="47">
        <f>X9/V9</f>
        <v/>
      </c>
      <c r="AD9" s="47">
        <f>IF(U9,Y9/U9,0)</f>
        <v/>
      </c>
      <c r="AE9" s="47">
        <f>IF(V9,Z9/V9,0)</f>
        <v/>
      </c>
      <c r="AF9" s="47">
        <f>T9/S9</f>
        <v/>
      </c>
      <c r="AG9" s="46" t="n"/>
      <c r="AW9" s="250" t="n"/>
      <c r="AX9" s="124" t="n"/>
      <c r="AY9" s="251" t="n"/>
    </row>
    <row r="10">
      <c r="B10" s="202" t="n"/>
      <c r="C10" s="100" t="inlineStr">
        <is>
          <t>Client POC</t>
        </is>
      </c>
      <c r="D10" s="304" t="inlineStr">
        <is>
          <t>-</t>
        </is>
      </c>
      <c r="F10" s="203" t="n"/>
      <c r="G10" s="203" t="n"/>
      <c r="H10" s="205" t="n"/>
      <c r="I10" s="205" t="n"/>
      <c r="J10" s="205" t="n"/>
      <c r="K10" s="205" t="n"/>
      <c r="L10" s="205" t="n"/>
      <c r="M10" s="205" t="n"/>
      <c r="N10" s="205" t="n"/>
      <c r="O10" s="206" t="n"/>
      <c r="R10" s="280" t="inlineStr">
        <is>
          <t>UALS 2026 (2.1): 2/02-2/09</t>
        </is>
      </c>
      <c r="S10" s="71">
        <f>(T10+Y10+Z10)</f>
        <v/>
      </c>
      <c r="T10" s="46">
        <f>(U10+V10)</f>
        <v/>
      </c>
      <c r="U10" s="70" t="n">
        <v>1</v>
      </c>
      <c r="V10" s="46" t="n">
        <v>17</v>
      </c>
      <c r="W10" s="71" t="n">
        <v>0</v>
      </c>
      <c r="X10" s="46" t="n">
        <v>9</v>
      </c>
      <c r="Y10" s="46" t="n">
        <v>9</v>
      </c>
      <c r="Z10" s="46" t="n">
        <v>37</v>
      </c>
      <c r="AA10" s="46">
        <f>U10-W10</f>
        <v/>
      </c>
      <c r="AB10" s="291">
        <f>IF(U11,W11/U11,0)</f>
        <v/>
      </c>
      <c r="AC10" s="47">
        <f>X10/V10</f>
        <v/>
      </c>
      <c r="AD10" s="47">
        <f>IF(U10,Y10/U10,0)</f>
        <v/>
      </c>
      <c r="AE10" s="47">
        <f>IF(V10,Z10/V10,0)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280" t="inlineStr">
        <is>
          <t>UALS 2026 (2.2): 2/09-2/23</t>
        </is>
      </c>
      <c r="S11" s="71">
        <f>(T11+Y11+Z11)</f>
        <v/>
      </c>
      <c r="T11" s="46">
        <f>(U11+V11)</f>
        <v/>
      </c>
      <c r="U11" s="70" t="n">
        <v>5</v>
      </c>
      <c r="V11" s="46" t="n">
        <v>23</v>
      </c>
      <c r="W11" s="71" t="n">
        <v>0</v>
      </c>
      <c r="X11" s="46" t="n">
        <v>32</v>
      </c>
      <c r="Y11" s="46" t="n">
        <v>2</v>
      </c>
      <c r="Z11" s="46" t="n">
        <v>29</v>
      </c>
      <c r="AA11" s="46">
        <f>U11-W11</f>
        <v/>
      </c>
      <c r="AB11" s="47">
        <f>IF(U12,W12/U12,0)</f>
        <v/>
      </c>
      <c r="AC11" s="47">
        <f>X11/V11</f>
        <v/>
      </c>
      <c r="AD11" s="47">
        <f>IF(U11,Y11/U11,0)</f>
        <v/>
      </c>
      <c r="AE11" s="47">
        <f>IF(V11,Z11/V11,0)</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280" t="inlineStr">
        <is>
          <t>UALS 2026 (3.1): 2/23-3/09</t>
        </is>
      </c>
      <c r="S12" s="71">
        <f>(T12+Y12+Z12)</f>
        <v/>
      </c>
      <c r="T12" s="46">
        <f>(U12+V12)</f>
        <v/>
      </c>
      <c r="U12" s="70" t="n">
        <v>4</v>
      </c>
      <c r="V12" s="46" t="n">
        <v>40</v>
      </c>
      <c r="W12" s="71" t="n">
        <v>4</v>
      </c>
      <c r="X12" s="46" t="n">
        <v>6</v>
      </c>
      <c r="Y12" s="46" t="n">
        <v>2</v>
      </c>
      <c r="Z12" s="46" t="n">
        <v>18</v>
      </c>
      <c r="AA12" s="46">
        <f>U12-W12</f>
        <v/>
      </c>
      <c r="AB12" s="47">
        <f>IF(U13,W13/U13,0)</f>
        <v/>
      </c>
      <c r="AC12" s="47">
        <f>X12/V12</f>
        <v/>
      </c>
      <c r="AD12" s="47">
        <f>IF(U12,Y12/U12,0)</f>
        <v/>
      </c>
      <c r="AE12" s="47">
        <f>IF(V12,Z12/V12,0)</f>
        <v/>
      </c>
      <c r="AF12" s="47">
        <f>T12/S12</f>
        <v/>
      </c>
      <c r="AG12" s="64"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280" t="inlineStr">
        <is>
          <t>UALS 2026 (3.2): 3/09-3/23</t>
        </is>
      </c>
      <c r="S13" s="71">
        <f>(T13+Y13+Z13)</f>
        <v/>
      </c>
      <c r="T13" s="46">
        <f>(U13+V13)</f>
        <v/>
      </c>
      <c r="U13" s="70" t="n">
        <v>12</v>
      </c>
      <c r="V13" s="46" t="n">
        <v>27</v>
      </c>
      <c r="W13" s="71" t="n">
        <v>4</v>
      </c>
      <c r="X13" s="46" t="n">
        <v>2</v>
      </c>
      <c r="Y13" s="46" t="n">
        <v>0</v>
      </c>
      <c r="Z13" s="46" t="n">
        <v>0</v>
      </c>
      <c r="AA13" s="46">
        <f>U13-W13</f>
        <v/>
      </c>
      <c r="AB13" s="47">
        <f>IF(U14,W14/U14,0)</f>
        <v/>
      </c>
      <c r="AC13" s="47">
        <f>X13/V13</f>
        <v/>
      </c>
      <c r="AD13" s="47">
        <f>IF(U13,Y13/U13,0)</f>
        <v/>
      </c>
      <c r="AE13" s="47">
        <f>IF(V13,Z13/V13,0)</f>
        <v/>
      </c>
      <c r="AF13" s="47">
        <f>T13/S13</f>
        <v/>
      </c>
      <c r="AG13" s="46" t="n"/>
      <c r="AJ13" s="69">
        <f>AJ3</f>
        <v/>
      </c>
      <c r="AK13" s="83">
        <f>AK3</f>
        <v/>
      </c>
      <c r="AL13" s="83">
        <f>AL3</f>
        <v/>
      </c>
      <c r="AN13" s="2" t="n"/>
      <c r="AW13" s="250" t="n"/>
      <c r="AX13" s="124" t="n"/>
      <c r="AY13" s="251" t="n"/>
    </row>
    <row r="14" ht="21.75" customHeight="1">
      <c r="B14" s="222" t="n"/>
      <c r="C14" s="241" t="inlineStr">
        <is>
          <t>On-site team</t>
        </is>
      </c>
      <c r="D14" s="305" t="inlineStr">
        <is>
          <t>Allocated</t>
        </is>
      </c>
      <c r="E14" s="315" t="n"/>
      <c r="F14" s="279" t="inlineStr">
        <is>
          <t>6 (4 Dev 1 QA, 1 Designer)</t>
        </is>
      </c>
      <c r="G14" s="242" t="n"/>
      <c r="H14" s="242" t="n"/>
      <c r="I14" s="242" t="n"/>
      <c r="J14" s="215" t="n"/>
      <c r="K14" s="215" t="n"/>
      <c r="L14" s="215" t="n"/>
      <c r="M14" s="215" t="n"/>
      <c r="N14" s="215" t="n"/>
      <c r="O14" s="220" t="n"/>
      <c r="R14" s="280" t="n"/>
      <c r="S14" s="71">
        <f>(T14+Y14+Z14)</f>
        <v/>
      </c>
      <c r="T14" s="46">
        <f>(U14+V14)</f>
        <v/>
      </c>
      <c r="U14" s="70" t="n"/>
      <c r="V14" s="46" t="n"/>
      <c r="W14" s="71" t="n"/>
      <c r="X14" s="46" t="n"/>
      <c r="Y14" s="46" t="n"/>
      <c r="Z14" s="46" t="n"/>
      <c r="AA14" s="46">
        <f>U14-W14</f>
        <v/>
      </c>
      <c r="AB14" s="47">
        <f>IF(U15,W15/U15,0)</f>
        <v/>
      </c>
      <c r="AC14" s="47">
        <f>X14/V14</f>
        <v/>
      </c>
      <c r="AD14" s="47">
        <f>IF(U14,Y14/U14,0)</f>
        <v/>
      </c>
      <c r="AE14" s="47">
        <f>IF(V14,Z14/V14,0)</f>
        <v/>
      </c>
      <c r="AF14" s="47">
        <f>T14/S14</f>
        <v/>
      </c>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282" t="n"/>
      <c r="S15" s="238">
        <f>(T15+Y15+Z15)</f>
        <v/>
      </c>
      <c r="T15" s="72">
        <f>(U15+V15)</f>
        <v/>
      </c>
      <c r="U15" s="122" t="n"/>
      <c r="V15" s="72" t="n"/>
      <c r="W15" s="238" t="n"/>
      <c r="X15" s="72" t="n"/>
      <c r="Y15" s="72" t="n"/>
      <c r="Z15" s="72" t="n"/>
      <c r="AA15" s="46">
        <f>U15-W15</f>
        <v/>
      </c>
      <c r="AB15" s="47">
        <f>IF(U16,W16/U16,0)</f>
        <v/>
      </c>
      <c r="AC15" s="47">
        <f>X15/V15</f>
        <v/>
      </c>
      <c r="AD15" s="47">
        <f>IF(U15,Y15/U15,0)</f>
        <v/>
      </c>
      <c r="AE15" s="47">
        <f>IF(V15,Z15/V15,0)</f>
        <v/>
      </c>
      <c r="AF15" s="47">
        <f>T15/S15</f>
        <v/>
      </c>
      <c r="AG15" s="72"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37" t="n"/>
      <c r="S16" s="46" t="n"/>
      <c r="T16" s="46" t="n"/>
      <c r="U16" s="46" t="n"/>
      <c r="V16" s="46" t="n"/>
      <c r="W16" s="46" t="n"/>
      <c r="X16" s="46" t="n"/>
      <c r="Y16" s="46" t="n"/>
      <c r="Z16" s="46" t="n"/>
      <c r="AA16" s="46">
        <f>U16-W16</f>
        <v/>
      </c>
      <c r="AB16" s="47">
        <f>IF(U17,W17/U17,0)</f>
        <v/>
      </c>
      <c r="AC16" s="47">
        <f>X16/V16</f>
        <v/>
      </c>
      <c r="AD16" s="47">
        <f>IF(U16,Y16/U16,0)</f>
        <v/>
      </c>
      <c r="AE16" s="47">
        <f>IF(V16,Z16/V16,0)</f>
        <v/>
      </c>
      <c r="AF16" s="47">
        <f>T16/S16</f>
        <v/>
      </c>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37" t="n"/>
      <c r="S17" s="46" t="n"/>
      <c r="T17" s="46" t="n"/>
      <c r="U17" s="46" t="n"/>
      <c r="V17" s="46" t="n"/>
      <c r="W17" s="46" t="n"/>
      <c r="X17" s="46" t="n"/>
      <c r="Y17" s="46" t="n"/>
      <c r="Z17" s="46" t="n"/>
      <c r="AA17" s="46">
        <f>U17-W17</f>
        <v/>
      </c>
      <c r="AB17" s="47">
        <f>IF(U18,W18/U18,0)</f>
        <v/>
      </c>
      <c r="AC17" s="47">
        <f>X17/V17</f>
        <v/>
      </c>
      <c r="AD17" s="47">
        <f>IF(U17,Y17/U17,0)</f>
        <v/>
      </c>
      <c r="AE17" s="47">
        <f>IF(V17,Z17/V17,0)</f>
        <v/>
      </c>
      <c r="AF17" s="47">
        <f>T17/S17</f>
        <v/>
      </c>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37" t="n"/>
      <c r="S18" s="46" t="n"/>
      <c r="T18" s="46" t="n"/>
      <c r="U18" s="46" t="n"/>
      <c r="V18" s="46" t="n"/>
      <c r="W18" s="46" t="n"/>
      <c r="X18" s="46" t="n"/>
      <c r="Y18" s="46" t="n"/>
      <c r="Z18" s="46" t="n"/>
      <c r="AA18" s="46">
        <f>U18-W18</f>
        <v/>
      </c>
      <c r="AB18" s="47">
        <f>IF(U19,W19/U19,0)</f>
        <v/>
      </c>
      <c r="AC18" s="47">
        <f>X18/V18</f>
        <v/>
      </c>
      <c r="AD18" s="47">
        <f>IF(U18,Y18/U18,0)</f>
        <v/>
      </c>
      <c r="AE18" s="47">
        <f>IF(V18,Z18/V18,0)</f>
        <v/>
      </c>
      <c r="AF18" s="47">
        <f>T18/S18</f>
        <v/>
      </c>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37" t="n"/>
      <c r="S19" s="46" t="n"/>
      <c r="T19" s="46" t="n"/>
      <c r="U19" s="46" t="n"/>
      <c r="V19" s="46" t="n"/>
      <c r="W19" s="46" t="n"/>
      <c r="X19" s="46" t="n"/>
      <c r="Y19" s="46" t="n"/>
      <c r="Z19" s="46" t="n"/>
      <c r="AA19" s="46">
        <f>U19-W19</f>
        <v/>
      </c>
      <c r="AB19" s="47">
        <f>IF(U20,W20/U20,0)</f>
        <v/>
      </c>
      <c r="AC19" s="47">
        <f>X19/V19</f>
        <v/>
      </c>
      <c r="AD19" s="47">
        <f>IF(U19,Y19/U19,0)</f>
        <v/>
      </c>
      <c r="AE19" s="47">
        <f>IF(V19,Z19/V19,0)</f>
        <v/>
      </c>
      <c r="AF19" s="47">
        <f>T19/S19</f>
        <v/>
      </c>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37" t="n"/>
      <c r="S20" s="46" t="n"/>
      <c r="T20" s="46" t="n"/>
      <c r="U20" s="46" t="n"/>
      <c r="V20" s="46" t="n"/>
      <c r="W20" s="46" t="n"/>
      <c r="X20" s="46" t="n"/>
      <c r="Y20" s="46" t="n"/>
      <c r="Z20" s="46" t="n"/>
      <c r="AA20" s="46">
        <f>U20-W20</f>
        <v/>
      </c>
      <c r="AB20" s="47">
        <f>IF(U21,W21/U21,0)</f>
        <v/>
      </c>
      <c r="AC20" s="47">
        <f>X20/V20</f>
        <v/>
      </c>
      <c r="AD20" s="47">
        <f>IF(U20,Y20/U20,0)</f>
        <v/>
      </c>
      <c r="AE20" s="47">
        <f>IF(V20,Z20/V20,0)</f>
        <v/>
      </c>
      <c r="AF20" s="47">
        <f>T20/S20</f>
        <v/>
      </c>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37" t="n"/>
      <c r="S21" s="46" t="n"/>
      <c r="T21" s="46" t="n"/>
      <c r="U21" s="46" t="n"/>
      <c r="V21" s="46" t="n"/>
      <c r="W21" s="46" t="n"/>
      <c r="X21" s="46" t="n"/>
      <c r="Y21" s="46" t="n"/>
      <c r="Z21" s="46" t="n"/>
      <c r="AA21" s="46">
        <f>U21-W21</f>
        <v/>
      </c>
      <c r="AB21" s="47">
        <f>IF(U22,W22/U22,0)</f>
        <v/>
      </c>
      <c r="AC21" s="47">
        <f>X21/V21</f>
        <v/>
      </c>
      <c r="AD21" s="47">
        <f>IF(U21,Y21/U21,0)</f>
        <v/>
      </c>
      <c r="AE21" s="47">
        <f>IF(V21,Z21/V21,0)</f>
        <v/>
      </c>
      <c r="AF21" s="47">
        <f>T21/S21</f>
        <v/>
      </c>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37" t="n"/>
      <c r="S22" s="46" t="n"/>
      <c r="T22" s="46" t="n"/>
      <c r="U22" s="46" t="n"/>
      <c r="V22" s="46" t="n"/>
      <c r="W22" s="46" t="n"/>
      <c r="X22" s="46" t="n"/>
      <c r="Y22" s="46" t="n"/>
      <c r="Z22" s="46" t="n"/>
      <c r="AA22" s="46">
        <f>U22-W22</f>
        <v/>
      </c>
      <c r="AB22" s="47">
        <f>IF(U23,W23/U23,0)</f>
        <v/>
      </c>
      <c r="AC22" s="47">
        <f>X22/V22</f>
        <v/>
      </c>
      <c r="AD22" s="47">
        <f>IF(U22,Y22/U22,0)</f>
        <v/>
      </c>
      <c r="AE22" s="47">
        <f>IF(V22,Z22/V22,0)</f>
        <v/>
      </c>
      <c r="AF22" s="47">
        <f>T22/S22</f>
        <v/>
      </c>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37" t="n"/>
      <c r="S23" s="46" t="n"/>
      <c r="T23" s="46" t="n"/>
      <c r="U23" s="46" t="n"/>
      <c r="V23" s="46" t="n"/>
      <c r="W23" s="46" t="n"/>
      <c r="X23" s="46" t="n"/>
      <c r="Y23" s="46" t="n"/>
      <c r="Z23" s="46" t="n"/>
      <c r="AA23" s="46">
        <f>U23-W23</f>
        <v/>
      </c>
      <c r="AB23" s="47">
        <f>IF(U24,W24/U24,0)</f>
        <v/>
      </c>
      <c r="AC23" s="47">
        <f>X23/V23</f>
        <v/>
      </c>
      <c r="AD23" s="47">
        <f>IF(U23,Y23/U23,0)</f>
        <v/>
      </c>
      <c r="AE23" s="47">
        <f>IF(V23,Z23/V23,0)</f>
        <v/>
      </c>
      <c r="AF23" s="47">
        <f>T23/S23</f>
        <v/>
      </c>
      <c r="AG23" s="46" t="n"/>
      <c r="AJ23" s="2" t="inlineStr">
        <is>
          <t>UALS 2026 (1.4): 1/20-1/26</t>
        </is>
      </c>
      <c r="AK23" t="n">
        <v>0</v>
      </c>
      <c r="AL23" t="n">
        <v>0.9285714285714286</v>
      </c>
      <c r="AN23" s="2" t="inlineStr">
        <is>
          <t>UALS 2026 (1.4): 1/20-1/26</t>
        </is>
      </c>
      <c r="AO23" t="n">
        <v>0</v>
      </c>
      <c r="AP23" t="n">
        <v>2.714285714285714</v>
      </c>
    </row>
    <row r="24">
      <c r="A24" s="214" t="n"/>
      <c r="B24" s="214" t="n"/>
      <c r="C24" s="214" t="n"/>
      <c r="D24" s="214" t="n"/>
      <c r="E24" s="214" t="n"/>
      <c r="F24" s="214" t="n"/>
      <c r="G24" s="214" t="n"/>
      <c r="H24" s="214" t="n"/>
      <c r="I24" s="214" t="n"/>
      <c r="J24" s="214" t="n"/>
      <c r="K24" s="214" t="n"/>
      <c r="L24" s="214" t="n"/>
      <c r="M24" s="214" t="n"/>
      <c r="N24" s="214" t="n"/>
      <c r="O24" s="214" t="n"/>
      <c r="P24" s="214" t="n"/>
      <c r="Q24" s="214" t="n"/>
      <c r="R24" s="37" t="n"/>
      <c r="S24" s="46" t="n"/>
      <c r="T24" s="46" t="n"/>
      <c r="U24" s="46" t="n"/>
      <c r="V24" s="46" t="n"/>
      <c r="W24" s="46" t="n"/>
      <c r="X24" s="46" t="n"/>
      <c r="Y24" s="46" t="n"/>
      <c r="Z24" s="46" t="n"/>
      <c r="AA24" s="46">
        <f>U24-W24</f>
        <v/>
      </c>
      <c r="AB24" s="47">
        <f>IF(U25,W25/U25,0)</f>
        <v/>
      </c>
      <c r="AC24" s="47">
        <f>X24/V24</f>
        <v/>
      </c>
      <c r="AD24" s="47">
        <f>IF(U24,Y24/U24,0)</f>
        <v/>
      </c>
      <c r="AE24" s="47">
        <f>IF(V24,Z24/V24,0)</f>
        <v/>
      </c>
      <c r="AF24" s="47">
        <f>T24/S24</f>
        <v/>
      </c>
      <c r="AG24" s="46" t="n"/>
      <c r="AJ24" s="2" t="inlineStr">
        <is>
          <t>UALS 2026 (1.5): 1/26-2/02</t>
        </is>
      </c>
      <c r="AK24" t="n">
        <v>0</v>
      </c>
      <c r="AL24" t="n">
        <v>1.384615384615385</v>
      </c>
      <c r="AN24" s="2" t="inlineStr">
        <is>
          <t>UALS 2026 (1.5): 1/26-2/02</t>
        </is>
      </c>
      <c r="AO24" t="n">
        <v>0</v>
      </c>
      <c r="AP24" t="n">
        <v>2.769230769230769</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f>U25-W25</f>
        <v/>
      </c>
      <c r="AB25" s="47">
        <f>IF(U26,W26/U26,0)</f>
        <v/>
      </c>
      <c r="AC25" s="47">
        <f>X25/V25</f>
        <v/>
      </c>
      <c r="AD25" s="47">
        <f>IF(U25,Y25/U25,0)</f>
        <v/>
      </c>
      <c r="AE25" s="47">
        <f>IF(V25,Z25/V25,0)</f>
        <v/>
      </c>
      <c r="AF25" s="47">
        <f>T25/S25</f>
        <v/>
      </c>
      <c r="AG25" s="46" t="n"/>
      <c r="AJ25" s="2" t="inlineStr">
        <is>
          <t>UALS 2026 (2.1): 2/02-2/09</t>
        </is>
      </c>
      <c r="AK25" t="n">
        <v>0</v>
      </c>
      <c r="AL25" t="n">
        <v>0.5294117647058824</v>
      </c>
      <c r="AN25" s="2" t="inlineStr">
        <is>
          <t>UALS 2026 (2.1): 2/02-2/09</t>
        </is>
      </c>
      <c r="AO25" t="n">
        <v>9</v>
      </c>
      <c r="AP25" t="n">
        <v>2.176470588235294</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f>IF(U27,W27/U27,0)</f>
        <v/>
      </c>
      <c r="AC26" s="46" t="n"/>
      <c r="AD26" s="46" t="n"/>
      <c r="AE26" s="46" t="n"/>
      <c r="AF26" s="46" t="n"/>
      <c r="AG26" s="46" t="n"/>
      <c r="AJ26" s="2" t="inlineStr">
        <is>
          <t>UALS 2026 (2.2): 2/09-2/23</t>
        </is>
      </c>
      <c r="AK26" t="n">
        <v>1</v>
      </c>
      <c r="AL26" t="n">
        <v>1.391304347826087</v>
      </c>
      <c r="AN26" s="2" t="inlineStr">
        <is>
          <t>UALS 2026 (2.2): 2/09-2/23</t>
        </is>
      </c>
      <c r="AO26" t="n">
        <v>0.4</v>
      </c>
      <c r="AP26" t="n">
        <v>1.260869565217391</v>
      </c>
    </row>
    <row r="27">
      <c r="A27" s="214" t="n"/>
      <c r="B27" s="214" t="n"/>
      <c r="C27" s="214" t="n"/>
      <c r="D27" s="214" t="n"/>
      <c r="E27" s="214" t="n"/>
      <c r="F27" s="214" t="n"/>
      <c r="G27" s="214" t="n"/>
      <c r="H27" s="214" t="n"/>
      <c r="I27" s="214" t="n"/>
      <c r="J27" s="214" t="n"/>
      <c r="K27" s="214" t="n"/>
      <c r="L27" s="214" t="n"/>
      <c r="M27" s="214" t="n"/>
      <c r="N27" s="214" t="n"/>
      <c r="O27" s="214" t="n"/>
      <c r="P27" s="214" t="n"/>
      <c r="Q27" s="214" t="n"/>
      <c r="R27" s="280" t="n"/>
      <c r="S27" s="46" t="n"/>
      <c r="T27" s="46" t="n"/>
      <c r="U27" s="46" t="n"/>
      <c r="V27" s="46" t="n"/>
      <c r="W27" s="46" t="n"/>
      <c r="X27" s="46" t="n"/>
      <c r="Y27" s="46" t="n"/>
      <c r="Z27" s="46" t="n"/>
      <c r="AA27" s="46" t="n"/>
      <c r="AB27" s="47" t="n"/>
      <c r="AC27" s="47" t="n"/>
      <c r="AD27" s="47" t="n"/>
      <c r="AE27" s="47" t="n"/>
      <c r="AF27" s="47" t="n"/>
      <c r="AG27" s="46" t="n"/>
      <c r="AJ27" s="2" t="inlineStr">
        <is>
          <t>UALS 2026 (3.1): 2/23-3/09</t>
        </is>
      </c>
      <c r="AK27" t="n">
        <v>0.3333333333333333</v>
      </c>
      <c r="AL27" t="n">
        <v>0.15</v>
      </c>
      <c r="AN27" s="2" t="inlineStr">
        <is>
          <t>UALS 2026 (3.1): 2/23-3/09</t>
        </is>
      </c>
      <c r="AO27" t="n">
        <v>0.5</v>
      </c>
      <c r="AP27" t="n">
        <v>0.45</v>
      </c>
    </row>
    <row r="28">
      <c r="A28" s="214" t="n"/>
      <c r="B28" s="214" t="n"/>
      <c r="C28" s="214" t="n"/>
      <c r="D28" s="214" t="n"/>
      <c r="E28" s="214" t="n"/>
      <c r="F28" s="214" t="n"/>
      <c r="G28" s="214" t="n"/>
      <c r="H28" s="214" t="n"/>
      <c r="I28" s="214" t="n"/>
      <c r="J28" s="214" t="n"/>
      <c r="K28" s="214" t="n"/>
      <c r="L28" s="214" t="n"/>
      <c r="M28" s="214" t="n"/>
      <c r="N28" s="214" t="n"/>
      <c r="O28" s="214" t="n"/>
      <c r="P28" s="214" t="n"/>
      <c r="Q28" s="214" t="n"/>
      <c r="R28" s="283" t="n"/>
      <c r="S28" s="281" t="n"/>
      <c r="T28" s="281" t="n"/>
      <c r="U28" s="281" t="n"/>
      <c r="V28" s="281" t="n"/>
      <c r="W28" s="281" t="n"/>
      <c r="X28" s="281" t="n"/>
      <c r="Y28" s="281" t="n"/>
      <c r="Z28" s="281" t="n"/>
      <c r="AA28" s="281" t="n"/>
      <c r="AB28" s="105" t="n"/>
      <c r="AC28" s="105" t="n"/>
      <c r="AD28" s="105" t="n"/>
      <c r="AE28" s="105" t="n"/>
      <c r="AF28" s="105" t="n"/>
      <c r="AG28" s="281" t="n"/>
      <c r="AJ28" s="2" t="inlineStr">
        <is>
          <t>UALS 2026 (3.2): 3/09-3/23</t>
        </is>
      </c>
      <c r="AK28" t="n">
        <v>0</v>
      </c>
      <c r="AL28" t="n">
        <v>0.07407407407407407</v>
      </c>
      <c r="AN28" s="2" t="inlineStr">
        <is>
          <t>UALS 2026 (3.2): 3/09-3/23</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280" t="n"/>
      <c r="S29" s="46" t="n"/>
      <c r="T29" s="46" t="n"/>
      <c r="U29" s="46" t="n"/>
      <c r="V29" s="46" t="n"/>
      <c r="W29" s="46" t="n"/>
      <c r="X29" s="46" t="n"/>
      <c r="Y29" s="46" t="n"/>
      <c r="Z29" s="46" t="n"/>
      <c r="AA29" s="46" t="n"/>
      <c r="AB29" s="47" t="n"/>
      <c r="AC29" s="47" t="n"/>
      <c r="AD29" s="47" t="n"/>
      <c r="AE29" s="47" t="n"/>
      <c r="AF29" s="47" t="n"/>
      <c r="AG29" s="46" t="n"/>
      <c r="AJ29" s="2" t="inlineStr">
        <is>
          <t>Grand Total</t>
        </is>
      </c>
      <c r="AK29" t="n">
        <v>1.333333333333333</v>
      </c>
      <c r="AL29" t="n">
        <v>4.457976999792857</v>
      </c>
      <c r="AN29" s="2" t="inlineStr">
        <is>
          <t>Grand Total</t>
        </is>
      </c>
      <c r="AO29" t="n">
        <v>9.9</v>
      </c>
      <c r="AP29" t="n">
        <v>9.370856636969167</v>
      </c>
    </row>
    <row r="30">
      <c r="A30" s="214" t="n"/>
      <c r="B30" s="214" t="n"/>
      <c r="C30" s="214" t="n"/>
      <c r="D30" s="214" t="n"/>
      <c r="E30" s="214" t="n"/>
      <c r="F30" s="214" t="n"/>
      <c r="G30" s="214" t="n"/>
      <c r="H30" s="214" t="n"/>
      <c r="I30" s="214" t="n"/>
      <c r="J30" s="214" t="n"/>
      <c r="K30" s="214" t="n"/>
      <c r="L30" s="214" t="n"/>
      <c r="M30" s="214" t="n"/>
      <c r="N30" s="214" t="n"/>
      <c r="O30" s="214" t="n"/>
      <c r="P30" s="214" t="n"/>
      <c r="Q30" s="214" t="n"/>
      <c r="R30" s="280"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c r="A31" s="214" t="n"/>
      <c r="B31" s="214" t="n"/>
      <c r="C31" s="214" t="n"/>
      <c r="D31" s="214" t="n"/>
      <c r="E31" s="214" t="n"/>
      <c r="F31" s="214" t="n"/>
      <c r="G31" s="214" t="n"/>
      <c r="H31" s="214" t="n"/>
      <c r="I31" s="214" t="n"/>
      <c r="J31" s="214" t="n"/>
      <c r="K31" s="214" t="n"/>
      <c r="L31" s="214" t="n"/>
      <c r="M31" s="214" t="n"/>
      <c r="N31" s="214" t="n"/>
      <c r="O31" s="214" t="n"/>
      <c r="P31" s="214" t="n"/>
      <c r="Q31" s="214" t="n"/>
      <c r="R31" s="280" t="n"/>
      <c r="S31" s="46" t="n"/>
      <c r="T31" s="46" t="n"/>
      <c r="U31" s="46" t="n"/>
      <c r="V31" s="46" t="n"/>
      <c r="W31" s="46" t="n"/>
      <c r="X31" s="46" t="n"/>
      <c r="Y31" s="46" t="n"/>
      <c r="Z31" s="46" t="n"/>
      <c r="AA31" s="46" t="n"/>
      <c r="AB31" s="47" t="n"/>
      <c r="AC31" s="47" t="n"/>
      <c r="AD31" s="47" t="n"/>
      <c r="AE31" s="47" t="n"/>
      <c r="AF31" s="47" t="n"/>
      <c r="AG31" s="46" t="n"/>
    </row>
    <row r="32">
      <c r="A32" s="214" t="n"/>
      <c r="B32" s="214" t="n"/>
      <c r="C32" s="214" t="n"/>
      <c r="D32" s="214" t="n"/>
      <c r="E32" s="214" t="n"/>
      <c r="F32" s="214" t="n"/>
      <c r="G32" s="214" t="n"/>
      <c r="H32" s="214" t="n"/>
      <c r="I32" s="214" t="n"/>
      <c r="J32" s="214" t="n"/>
      <c r="K32" s="214" t="n"/>
      <c r="L32" s="214" t="n"/>
      <c r="M32" s="214" t="n"/>
      <c r="N32" s="214" t="n"/>
      <c r="O32" s="214" t="n"/>
      <c r="P32" s="214" t="n"/>
      <c r="Q32" s="214" t="n"/>
      <c r="R32" s="280"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280"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UALS 2026 (1.4): 1/20-1/26</t>
        </is>
      </c>
      <c r="AK43" t="n">
        <v>0.2456140350877193</v>
      </c>
      <c r="AM43" s="2" t="inlineStr">
        <is>
          <t>UALS 2026 (1.4): 1/20-1/26</t>
        </is>
      </c>
      <c r="AN43" s="71" t="n">
        <v>0</v>
      </c>
      <c r="AO43" s="46" t="n">
        <v>13</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UALS 2026 (1.5): 1/26-2/02</t>
        </is>
      </c>
      <c r="AK44" t="n">
        <v>0.2653061224489796</v>
      </c>
      <c r="AM44" s="2" t="inlineStr">
        <is>
          <t>UALS 2026 (1.5): 1/26-2/02</t>
        </is>
      </c>
      <c r="AN44" s="71" t="n">
        <v>0</v>
      </c>
      <c r="AO44" s="46" t="n">
        <v>18</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UALS 2026 (2.1): 2/02-2/09</t>
        </is>
      </c>
      <c r="AK45" t="n">
        <v>0.28125</v>
      </c>
      <c r="AM45" s="2" t="inlineStr">
        <is>
          <t>UALS 2026 (2.1): 2/02-2/09</t>
        </is>
      </c>
      <c r="AN45" s="71" t="n">
        <v>0</v>
      </c>
      <c r="AO45" s="46" t="n">
        <v>9</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UALS 2026 (2.2): 2/09-2/23</t>
        </is>
      </c>
      <c r="AK46" t="n">
        <v>0.4745762711864407</v>
      </c>
      <c r="AM46" s="2" t="inlineStr">
        <is>
          <t>UALS 2026 (2.2): 2/09-2/23</t>
        </is>
      </c>
      <c r="AN46" s="71" t="n">
        <v>0</v>
      </c>
      <c r="AO46" s="46" t="n">
        <v>32</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UALS 2026 (3.1): 2/23-3/09</t>
        </is>
      </c>
      <c r="AK47" t="n">
        <v>0.6875</v>
      </c>
      <c r="AM47" s="2" t="inlineStr">
        <is>
          <t>UALS 2026 (3.1): 2/23-3/09</t>
        </is>
      </c>
      <c r="AN47" s="71" t="n">
        <v>4</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UALS 2026 (3.2): 3/09-3/23</t>
        </is>
      </c>
      <c r="AK48" t="n">
        <v>1</v>
      </c>
      <c r="AM48" s="2" t="inlineStr">
        <is>
          <t>UALS 2026 (3.2): 3/09-3/23</t>
        </is>
      </c>
      <c r="AN48" s="71" t="n">
        <v>4</v>
      </c>
      <c r="AO48" s="46" t="n">
        <v>2</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2.95424642872314</v>
      </c>
      <c r="AM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c r="AM52" s="269" t="inlineStr">
        <is>
          <t>Sprint</t>
        </is>
      </c>
      <c r="AN52" s="83" t="inlineStr">
        <is>
          <t>V2</t>
        </is>
      </c>
      <c r="AO52" s="83" t="inlineStr">
        <is>
          <t>LT</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c r="AM53" s="2" t="inlineStr">
        <is>
          <t>UALS 2026 (1.4): 1/20-1/26</t>
        </is>
      </c>
      <c r="AN53" s="46" t="n">
        <v>5</v>
      </c>
      <c r="AO53" s="46" t="n">
        <v>38</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c r="AM54" s="2" t="inlineStr">
        <is>
          <t>UALS 2026 (1.5): 1/26-2/02</t>
        </is>
      </c>
      <c r="AN54" s="46" t="n">
        <v>0</v>
      </c>
      <c r="AO54" s="46" t="n">
        <v>36</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c r="AM55" s="2" t="inlineStr">
        <is>
          <t>UALS 2026 (2.1): 2/02-2/09</t>
        </is>
      </c>
      <c r="AN55" s="46" t="n">
        <v>9</v>
      </c>
      <c r="AO55" s="46" t="n">
        <v>37</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c r="AM56" s="2" t="inlineStr">
        <is>
          <t>UALS 2026 (2.2): 2/09-2/23</t>
        </is>
      </c>
      <c r="AN56" s="46" t="n">
        <v>2</v>
      </c>
      <c r="AO56" s="46" t="n">
        <v>29</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c r="AM57" s="2" t="inlineStr">
        <is>
          <t>UALS 2026 (3.1): 2/23-3/09</t>
        </is>
      </c>
      <c r="AN57" s="46" t="n">
        <v>2</v>
      </c>
      <c r="AO57" s="46" t="n">
        <v>18</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c r="AM58" s="2" t="inlineStr">
        <is>
          <t>UALS 2026 (3.2): 3/09-3/23</t>
        </is>
      </c>
      <c r="AN58" s="46" t="n">
        <v>0</v>
      </c>
      <c r="AO58" s="46" t="n">
        <v>0</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c r="AM59" s="269"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8.xml><?xml version="1.0" encoding="utf-8"?>
<worksheet xmlns="http://schemas.openxmlformats.org/spreadsheetml/2006/main">
  <sheetPr>
    <tabColor rgb="FFFF0000"/>
    <outlinePr summaryBelow="1" summaryRight="1"/>
    <pageSetUpPr/>
  </sheetPr>
  <dimension ref="A1:AY75"/>
  <sheetViews>
    <sheetView showGridLines="0" zoomScale="110" zoomScaleNormal="110" workbookViewId="0">
      <pane ySplit="1" topLeftCell="A2" activePane="bottomLeft" state="frozen"/>
      <selection pane="bottomLeft" activeCell="R8" sqref="R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9.5703125" bestFit="1" customWidth="1" style="65" min="34" max="34"/>
    <col width="28.140625" bestFit="1" customWidth="1" style="65" min="35" max="35"/>
    <col width="28.5703125" bestFit="1" customWidth="1" style="65" min="36" max="36"/>
    <col width="9.140625" customWidth="1" style="65" min="37" max="37"/>
    <col width="19.5703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WPML 07/01 - 07/31</t>
        </is>
      </c>
      <c r="S2" s="81" t="n">
        <v>42</v>
      </c>
      <c r="T2" s="81" t="n">
        <v>42</v>
      </c>
      <c r="U2" s="81" t="n">
        <v>25</v>
      </c>
      <c r="V2" s="81" t="n">
        <v>17</v>
      </c>
      <c r="W2" s="81" t="n">
        <v>3</v>
      </c>
      <c r="X2" s="81" t="n">
        <v>1</v>
      </c>
      <c r="Y2" s="81" t="n">
        <v>0</v>
      </c>
      <c r="Z2" s="81" t="n">
        <v>0</v>
      </c>
      <c r="AA2" s="81" t="n">
        <v>22</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WPML 08/01 - 08/31</t>
        </is>
      </c>
      <c r="S3" s="81" t="n">
        <v>52</v>
      </c>
      <c r="T3" s="81" t="n">
        <v>52</v>
      </c>
      <c r="U3" s="81" t="n">
        <v>11</v>
      </c>
      <c r="V3" s="81" t="n">
        <v>41</v>
      </c>
      <c r="W3" s="81" t="n">
        <v>3</v>
      </c>
      <c r="X3" s="81" t="n">
        <v>3</v>
      </c>
      <c r="Y3" s="81" t="n">
        <v>0</v>
      </c>
      <c r="Z3" s="81" t="n">
        <v>0</v>
      </c>
      <c r="AA3" s="81" t="n">
        <v>8</v>
      </c>
      <c r="AB3" s="142">
        <f>IF(U3,W3/U3,0)</f>
        <v/>
      </c>
      <c r="AC3" s="142">
        <f>IF(V3,X3/V3,0)</f>
        <v/>
      </c>
      <c r="AD3" s="142">
        <f>IF(U3,Y3/U3,0)</f>
        <v/>
      </c>
      <c r="AE3" s="142">
        <f>IF(V3,Z3/V3,0)</f>
        <v/>
      </c>
      <c r="AF3" s="142">
        <f>IF(S3,T3/S3,0)</f>
        <v/>
      </c>
      <c r="AH3" s="65" t="inlineStr">
        <is>
          <t>WPML 09/01 - 09/30</t>
        </is>
      </c>
      <c r="AI3" s="65" t="n">
        <v>19</v>
      </c>
      <c r="AJ3" s="65" t="n">
        <v>68</v>
      </c>
      <c r="AL3" s="65" t="inlineStr">
        <is>
          <t>WPML 09/01 - 09/30</t>
        </is>
      </c>
      <c r="AM3" s="65" t="n">
        <v>2</v>
      </c>
      <c r="AN3" s="65" t="n">
        <v>17</v>
      </c>
      <c r="AT3" s="65" t="inlineStr">
        <is>
          <t>Red</t>
        </is>
      </c>
    </row>
    <row r="4" ht="18" customHeight="1">
      <c r="B4" s="17" t="n"/>
      <c r="O4" s="10" t="n"/>
      <c r="R4" s="81" t="inlineStr">
        <is>
          <t>WPML 09/01 - 09/30</t>
        </is>
      </c>
      <c r="S4" s="81" t="n">
        <v>87</v>
      </c>
      <c r="T4" s="81" t="n">
        <v>87</v>
      </c>
      <c r="U4" s="81" t="n">
        <v>19</v>
      </c>
      <c r="V4" s="81" t="n">
        <v>68</v>
      </c>
      <c r="W4" s="81" t="n">
        <v>2</v>
      </c>
      <c r="X4" s="81" t="n">
        <v>10</v>
      </c>
      <c r="Y4" s="81" t="n">
        <v>0</v>
      </c>
      <c r="Z4" s="81" t="n">
        <v>0</v>
      </c>
      <c r="AA4" s="81" t="n">
        <v>17</v>
      </c>
      <c r="AB4" s="142">
        <f>IF(U4,W4/U4,0)</f>
        <v/>
      </c>
      <c r="AC4" s="142">
        <f>IF(V4,X4/V4,0)</f>
        <v/>
      </c>
      <c r="AD4" s="142">
        <f>IF(U4,Y4/U4,0)</f>
        <v/>
      </c>
      <c r="AE4" s="142">
        <f>IF(V4,Z4/V4,0)</f>
        <v/>
      </c>
      <c r="AF4" s="142">
        <f>IF(S4,T4/S4,0)</f>
        <v/>
      </c>
      <c r="AH4" s="65" t="inlineStr">
        <is>
          <t>WPML 10/01 -10/31</t>
        </is>
      </c>
      <c r="AI4" s="65" t="n">
        <v>17</v>
      </c>
      <c r="AJ4" s="65" t="n">
        <v>70</v>
      </c>
      <c r="AL4" s="65" t="inlineStr">
        <is>
          <t>WPML 10/01 -10/31</t>
        </is>
      </c>
      <c r="AM4" s="65" t="n">
        <v>2</v>
      </c>
      <c r="AN4" s="65" t="n">
        <v>15</v>
      </c>
      <c r="AT4" s="65" t="inlineStr">
        <is>
          <t>Amber</t>
        </is>
      </c>
    </row>
    <row r="5" ht="18" customHeight="1">
      <c r="B5" s="17" t="n"/>
      <c r="O5" s="10" t="n"/>
      <c r="R5" s="81" t="inlineStr">
        <is>
          <t>WPML 10/01 -10/31</t>
        </is>
      </c>
      <c r="S5" s="81" t="n">
        <v>87</v>
      </c>
      <c r="T5" s="81" t="n">
        <v>87</v>
      </c>
      <c r="U5" s="81" t="n">
        <v>17</v>
      </c>
      <c r="V5" s="81" t="n">
        <v>70</v>
      </c>
      <c r="W5" s="81" t="n">
        <v>2</v>
      </c>
      <c r="X5" s="81" t="n">
        <v>6</v>
      </c>
      <c r="Y5" s="81" t="n">
        <v>0</v>
      </c>
      <c r="Z5" s="81" t="n">
        <v>0</v>
      </c>
      <c r="AA5" s="81" t="n">
        <v>15</v>
      </c>
      <c r="AB5" s="142">
        <f>IF(U5,W5/U5,0)</f>
        <v/>
      </c>
      <c r="AC5" s="142">
        <f>IF(V5,X5/V5,0)</f>
        <v/>
      </c>
      <c r="AD5" s="142">
        <f>IF(U5,Y5/U5,0)</f>
        <v/>
      </c>
      <c r="AE5" s="142">
        <f>IF(V5,Z5/V5,0)</f>
        <v/>
      </c>
      <c r="AF5" s="142">
        <f>IF(S5,T5/S5,0)</f>
        <v/>
      </c>
      <c r="AH5" s="65" t="inlineStr">
        <is>
          <t>WPML 11/01 - 11/30</t>
        </is>
      </c>
      <c r="AI5" s="65" t="n">
        <v>16</v>
      </c>
      <c r="AJ5" s="65" t="n">
        <v>45</v>
      </c>
      <c r="AL5" s="65" t="inlineStr">
        <is>
          <t>WPML 11/01 - 11/30</t>
        </is>
      </c>
      <c r="AM5" s="65" t="n">
        <v>0</v>
      </c>
      <c r="AN5" s="65" t="n">
        <v>16</v>
      </c>
    </row>
    <row r="6" ht="18" customHeight="1">
      <c r="B6" s="175" t="n"/>
      <c r="C6" s="176" t="n"/>
      <c r="D6" s="176" t="n"/>
      <c r="E6" s="176" t="n"/>
      <c r="F6" s="176" t="n"/>
      <c r="G6" s="176" t="n"/>
      <c r="H6" s="176" t="n"/>
      <c r="I6" s="176" t="n"/>
      <c r="J6" s="176" t="n"/>
      <c r="K6" s="176" t="n"/>
      <c r="L6" s="176" t="n"/>
      <c r="M6" s="176" t="n"/>
      <c r="N6" s="176" t="n"/>
      <c r="O6" s="177" t="n"/>
      <c r="R6" s="81" t="inlineStr">
        <is>
          <t>WPML 11/01 - 11/30</t>
        </is>
      </c>
      <c r="S6" s="81" t="n">
        <v>61</v>
      </c>
      <c r="T6" s="81" t="n">
        <v>61</v>
      </c>
      <c r="U6" s="81" t="n">
        <v>16</v>
      </c>
      <c r="V6" s="81" t="n">
        <v>45</v>
      </c>
      <c r="W6" s="81" t="n">
        <v>0</v>
      </c>
      <c r="X6" s="81" t="n">
        <v>3</v>
      </c>
      <c r="Y6" s="81" t="n">
        <v>0</v>
      </c>
      <c r="Z6" s="81" t="n">
        <v>0</v>
      </c>
      <c r="AA6" s="81" t="n">
        <v>16</v>
      </c>
      <c r="AB6" s="142">
        <f>IF(U6,W6/U6,0)</f>
        <v/>
      </c>
      <c r="AC6" s="142">
        <f>IF(V6,X6/V6,0)</f>
        <v/>
      </c>
      <c r="AD6" s="142">
        <f>IF(U6,Y6/U6,0)</f>
        <v/>
      </c>
      <c r="AE6" s="142">
        <f>IF(V6,Z6/V6,0)</f>
        <v/>
      </c>
      <c r="AF6" s="142">
        <f>IF(S6,T6/S6,0)</f>
        <v/>
      </c>
      <c r="AH6" s="65" t="inlineStr">
        <is>
          <t>WPML 12/01 - 12/31</t>
        </is>
      </c>
      <c r="AI6" s="65" t="n">
        <v>23</v>
      </c>
      <c r="AJ6" s="65" t="n">
        <v>42</v>
      </c>
      <c r="AL6" s="65" t="inlineStr">
        <is>
          <t>WPML 12/01 - 12/31</t>
        </is>
      </c>
      <c r="AM6" s="65" t="n">
        <v>3</v>
      </c>
      <c r="AN6" s="65" t="n">
        <v>20</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46088</v>
      </c>
      <c r="O7" s="177" t="n"/>
      <c r="R7" s="81" t="inlineStr">
        <is>
          <t>WPML 12/01 - 12/31</t>
        </is>
      </c>
      <c r="S7" s="81" t="n">
        <v>65</v>
      </c>
      <c r="T7" s="81" t="n">
        <v>65</v>
      </c>
      <c r="U7" s="81" t="n">
        <v>23</v>
      </c>
      <c r="V7" s="81" t="n">
        <v>42</v>
      </c>
      <c r="W7" s="81" t="n">
        <v>3</v>
      </c>
      <c r="X7" s="81" t="n">
        <v>5</v>
      </c>
      <c r="Y7" s="81" t="n">
        <v>0</v>
      </c>
      <c r="Z7" s="81" t="n">
        <v>0</v>
      </c>
      <c r="AA7" s="81" t="n">
        <v>20</v>
      </c>
      <c r="AB7" s="142">
        <f>IF(U7,W7/U7,0)</f>
        <v/>
      </c>
      <c r="AC7" s="142">
        <f>IF(V7,X7/V7,0)</f>
        <v/>
      </c>
      <c r="AD7" s="142">
        <f>IF(U7,Y7/U7,0)</f>
        <v/>
      </c>
      <c r="AE7" s="142">
        <f>IF(V7,Z7/V7,0)</f>
        <v/>
      </c>
      <c r="AF7" s="142">
        <f>IF(S7,T7/S7,0)</f>
        <v/>
      </c>
      <c r="AH7" s="65" t="inlineStr">
        <is>
          <t>WPML 01/01 - 01/31</t>
        </is>
      </c>
      <c r="AI7" s="65" t="n">
        <v>8</v>
      </c>
      <c r="AJ7" s="65" t="n">
        <v>60</v>
      </c>
      <c r="AL7" s="65" t="inlineStr">
        <is>
          <t>WPML 01/01 - 01/31</t>
        </is>
      </c>
      <c r="AM7" s="65" t="n">
        <v>0</v>
      </c>
      <c r="AN7" s="65" t="n">
        <v>8</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WPML 01/01 - 01/31</t>
        </is>
      </c>
      <c r="S8" s="81" t="n">
        <v>68</v>
      </c>
      <c r="T8" s="81" t="n">
        <v>68</v>
      </c>
      <c r="U8" s="81" t="n">
        <v>8</v>
      </c>
      <c r="V8" s="81" t="n">
        <v>60</v>
      </c>
      <c r="W8" s="81" t="n">
        <v>0</v>
      </c>
      <c r="X8" s="81" t="n">
        <v>11</v>
      </c>
      <c r="Y8" s="81" t="n">
        <v>0</v>
      </c>
      <c r="Z8" s="81" t="n">
        <v>0</v>
      </c>
      <c r="AA8" s="81" t="n">
        <v>8</v>
      </c>
      <c r="AB8" s="142">
        <f>IF(U8,W8/U8,0)</f>
        <v/>
      </c>
      <c r="AC8" s="142">
        <f>IF(V8,X8/V8,0)</f>
        <v/>
      </c>
      <c r="AD8" s="142">
        <f>IF(U8,Y8/U8,0)</f>
        <v/>
      </c>
      <c r="AE8" s="142">
        <f>IF(V8,Z8/V8,0)</f>
        <v/>
      </c>
      <c r="AF8" s="142">
        <f>IF(S8,T8/S8,0)</f>
        <v/>
      </c>
      <c r="AH8" s="65" t="inlineStr">
        <is>
          <t>WPML 02/01 - 02/28</t>
        </is>
      </c>
      <c r="AI8" s="65" t="n">
        <v>19</v>
      </c>
      <c r="AJ8" s="65" t="n">
        <v>56</v>
      </c>
      <c r="AL8" s="65" t="inlineStr">
        <is>
          <t>WPML 02/01 - 02/28</t>
        </is>
      </c>
      <c r="AM8" s="65" t="n">
        <v>0</v>
      </c>
      <c r="AN8" s="65" t="n">
        <v>19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WPML 02/01 - 02/28</t>
        </is>
      </c>
      <c r="S9" s="81" t="n">
        <v>75</v>
      </c>
      <c r="T9" s="81" t="n">
        <v>75</v>
      </c>
      <c r="U9" s="81" t="n">
        <v>19</v>
      </c>
      <c r="V9" s="81" t="n">
        <v>56</v>
      </c>
      <c r="W9" s="81" t="n">
        <v>0</v>
      </c>
      <c r="X9" s="81" t="n">
        <v>11</v>
      </c>
      <c r="Y9" s="81" t="n">
        <v>0</v>
      </c>
      <c r="Z9" s="81" t="n">
        <v>0</v>
      </c>
      <c r="AA9" s="81" t="n">
        <v>19</v>
      </c>
      <c r="AB9" s="142">
        <f>IF(U9,W9/U9,0)</f>
        <v/>
      </c>
      <c r="AC9" s="142">
        <f>IF(V9,X9/V9,0)</f>
        <v/>
      </c>
      <c r="AD9" s="142">
        <f>IF(U9,Y9/U9,0)</f>
        <v/>
      </c>
      <c r="AE9" s="142">
        <f>IF(V9,Z9/V9,0)</f>
        <v/>
      </c>
      <c r="AF9" s="142">
        <f>IF(S9,T9/S9,0)</f>
        <v/>
      </c>
      <c r="AH9" s="65" t="inlineStr">
        <is>
          <t>Grand Total</t>
        </is>
      </c>
      <c r="AI9" s="65" t="n">
        <v>102</v>
      </c>
      <c r="AJ9" s="65" t="n">
        <v>341</v>
      </c>
      <c r="AL9" s="65" t="inlineStr">
        <is>
          <t>Grand Total</t>
        </is>
      </c>
      <c r="AM9" s="65" t="n">
        <v>7</v>
      </c>
      <c r="AN9" s="65" t="n">
        <v>95</v>
      </c>
    </row>
    <row r="10" ht="18" customHeight="1">
      <c r="B10" s="175" t="n"/>
      <c r="C10" s="178" t="inlineStr">
        <is>
          <t>Project Manager/Lead</t>
        </is>
      </c>
      <c r="D10" s="301" t="inlineStr">
        <is>
          <t>Daya</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n"/>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64" t="inlineStr">
        <is>
          <t>V2</t>
        </is>
      </c>
      <c r="AJ12" s="64"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t="n">
        <v>19</v>
      </c>
      <c r="AJ13" s="81" t="n">
        <v>68</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t="n">
        <v>17</v>
      </c>
      <c r="AJ14" s="81" t="n">
        <v>70</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t="n">
        <v>16</v>
      </c>
      <c r="AJ15" s="81" t="n">
        <v>45</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t="n">
        <v>23</v>
      </c>
      <c r="AJ16" s="81" t="n">
        <v>42</v>
      </c>
      <c r="AL16" s="81" t="inlineStr">
        <is>
          <t>Rework</t>
        </is>
      </c>
      <c r="AM16" s="81">
        <f>GETPIVOTDATA("Sum of Rework",$AL$2)</f>
        <v/>
      </c>
    </row>
    <row r="17" ht="18" customHeight="1">
      <c r="R17" s="263" t="n"/>
      <c r="AB17" s="142" t="n"/>
      <c r="AC17" s="142" t="n"/>
      <c r="AD17" s="142" t="n"/>
      <c r="AE17" s="142" t="n"/>
      <c r="AF17" s="142" t="n"/>
      <c r="AH17" s="81">
        <f>AH7</f>
        <v/>
      </c>
      <c r="AI17" s="81" t="n">
        <v>8</v>
      </c>
      <c r="AJ17" s="81" t="n">
        <v>60</v>
      </c>
    </row>
    <row r="18" ht="18" customHeight="1">
      <c r="AB18" s="142" t="n"/>
      <c r="AC18" s="142" t="n"/>
      <c r="AD18" s="142" t="n"/>
      <c r="AE18" s="142" t="n"/>
      <c r="AF18" s="142" t="n"/>
      <c r="AH18" s="81">
        <f>AH8</f>
        <v/>
      </c>
      <c r="AI18" s="81" t="n">
        <v>19</v>
      </c>
      <c r="AJ18" s="81" t="n">
        <v>56</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WPML 09/01 - 09/30</t>
        </is>
      </c>
      <c r="AI23" s="65" t="n">
        <v>0.1470588235294118</v>
      </c>
      <c r="AJ23" s="65" t="n">
        <v>0.1052631578947368</v>
      </c>
      <c r="AM23" s="65" t="inlineStr">
        <is>
          <t>WPML 09/01 - 09/30</t>
        </is>
      </c>
      <c r="AN23" s="65" t="n">
        <v>0</v>
      </c>
      <c r="AO23" s="65" t="n">
        <v>0</v>
      </c>
    </row>
    <row r="24" ht="18" customHeight="1">
      <c r="AB24" s="142" t="n"/>
      <c r="AC24" s="142" t="n"/>
      <c r="AD24" s="142" t="n"/>
      <c r="AE24" s="142" t="n"/>
      <c r="AF24" s="142" t="n"/>
      <c r="AH24" s="65" t="inlineStr">
        <is>
          <t>WPML 10/01 -10/31</t>
        </is>
      </c>
      <c r="AI24" s="65" t="n">
        <v>0.08571428571428572</v>
      </c>
      <c r="AJ24" s="65" t="n">
        <v>0.1176470588235294</v>
      </c>
      <c r="AM24" s="65" t="inlineStr">
        <is>
          <t>WPML 10/01 -10/31</t>
        </is>
      </c>
      <c r="AN24" s="65" t="n">
        <v>0</v>
      </c>
      <c r="AO24" s="65" t="n">
        <v>0</v>
      </c>
    </row>
    <row r="25" ht="18" customHeight="1">
      <c r="R25" s="264" t="n"/>
      <c r="AB25" s="142" t="n"/>
      <c r="AC25" s="142" t="n"/>
      <c r="AD25" s="142" t="n"/>
      <c r="AE25" s="142" t="n"/>
      <c r="AF25" s="142" t="n"/>
      <c r="AH25" s="65" t="inlineStr">
        <is>
          <t>WPML 11/01 - 11/30</t>
        </is>
      </c>
      <c r="AI25" s="65" t="n">
        <v>0.06666666666666667</v>
      </c>
      <c r="AJ25" s="65" t="n">
        <v>0</v>
      </c>
      <c r="AM25" s="65" t="inlineStr">
        <is>
          <t>WPML 11/01 - 11/30</t>
        </is>
      </c>
      <c r="AN25" s="65" t="n">
        <v>0</v>
      </c>
      <c r="AO25" s="65" t="n">
        <v>0</v>
      </c>
    </row>
    <row r="26" ht="18" customHeight="1">
      <c r="R26" s="273" t="n"/>
      <c r="S26" s="270" t="n"/>
      <c r="AB26" s="142" t="n"/>
      <c r="AC26" s="142" t="n"/>
      <c r="AD26" s="142" t="n"/>
      <c r="AE26" s="142" t="n"/>
      <c r="AF26" s="142" t="n"/>
      <c r="AH26" s="65" t="inlineStr">
        <is>
          <t>WPML 12/01 - 12/31</t>
        </is>
      </c>
      <c r="AI26" s="65" t="n">
        <v>0.119047619047619</v>
      </c>
      <c r="AJ26" s="65" t="n">
        <v>0.1304347826086956</v>
      </c>
      <c r="AM26" s="65" t="inlineStr">
        <is>
          <t>WPML 12/01 - 12/31</t>
        </is>
      </c>
      <c r="AN26" s="65" t="n">
        <v>0</v>
      </c>
      <c r="AO26" s="65" t="n">
        <v>0</v>
      </c>
    </row>
    <row r="27" ht="18" customHeight="1">
      <c r="R27" s="274" t="n"/>
      <c r="S27" s="270" t="n"/>
      <c r="AB27" s="142" t="n"/>
      <c r="AC27" s="142" t="n"/>
      <c r="AD27" s="142" t="n"/>
      <c r="AE27" s="142" t="n"/>
      <c r="AF27" s="142" t="n"/>
      <c r="AH27" s="65" t="inlineStr">
        <is>
          <t>WPML 01/01 - 01/31</t>
        </is>
      </c>
      <c r="AI27" s="65" t="n">
        <v>0.1833333333333333</v>
      </c>
      <c r="AJ27" s="65" t="n">
        <v>0</v>
      </c>
      <c r="AM27" s="65" t="inlineStr">
        <is>
          <t>WPML 01/01 - 01/31</t>
        </is>
      </c>
      <c r="AN27" s="65" t="n">
        <v>0</v>
      </c>
      <c r="AO27" s="65" t="n">
        <v>0</v>
      </c>
    </row>
    <row r="28" ht="18" customHeight="1">
      <c r="R28" s="263" t="n"/>
      <c r="AB28" s="142" t="n"/>
      <c r="AC28" s="142" t="n"/>
      <c r="AD28" s="142" t="n"/>
      <c r="AE28" s="142" t="n"/>
      <c r="AF28" s="142" t="n"/>
      <c r="AH28" s="65" t="inlineStr">
        <is>
          <t>WPML 02/01 - 02/28</t>
        </is>
      </c>
      <c r="AI28" s="65" t="n">
        <v>0.1964285714285714</v>
      </c>
      <c r="AJ28" s="65" t="n">
        <v>0</v>
      </c>
      <c r="AM28" s="65" t="inlineStr">
        <is>
          <t>WPML 02/01 - 02/28</t>
        </is>
      </c>
      <c r="AN28" s="65" t="n">
        <v>0</v>
      </c>
      <c r="AO28" s="65" t="n">
        <v>0</v>
      </c>
    </row>
    <row r="29" ht="18" customHeight="1">
      <c r="R29" s="263" t="n"/>
      <c r="AB29" s="142" t="n"/>
      <c r="AC29" s="142" t="n"/>
      <c r="AD29" s="142" t="n"/>
      <c r="AE29" s="142" t="n"/>
      <c r="AF29" s="142" t="n"/>
      <c r="AH29" s="65" t="inlineStr">
        <is>
          <t>Grand Total</t>
        </is>
      </c>
      <c r="AI29" s="65" t="n">
        <v>0.7982492997198879</v>
      </c>
      <c r="AJ29" s="65" t="n">
        <v>0.3533449993269619</v>
      </c>
      <c r="AM29" s="65" t="inlineStr">
        <is>
          <t>Grand Total</t>
        </is>
      </c>
      <c r="AN29" s="65" t="n">
        <v>0</v>
      </c>
      <c r="AO29" s="65" t="n">
        <v>0</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64" t="inlineStr">
        <is>
          <t>V2</t>
        </is>
      </c>
      <c r="AJ36" s="64" t="inlineStr">
        <is>
          <t>LT</t>
        </is>
      </c>
      <c r="AL36" s="81" t="inlineStr">
        <is>
          <t>Sprint</t>
        </is>
      </c>
      <c r="AM36" s="64" t="inlineStr">
        <is>
          <t>V2</t>
        </is>
      </c>
      <c r="AN36" s="64" t="inlineStr">
        <is>
          <t>LT</t>
        </is>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S40" s="46" t="n"/>
      <c r="T40" s="46" t="n"/>
      <c r="U40" s="46" t="n"/>
      <c r="V40" s="46" t="n"/>
      <c r="W40" s="46" t="n"/>
      <c r="X40" s="46" t="n"/>
      <c r="Y40" s="46" t="n"/>
      <c r="Z40" s="46" t="n"/>
      <c r="AA40" s="46" t="n"/>
      <c r="AB40" s="142" t="n"/>
      <c r="AC40" s="142" t="n"/>
      <c r="AD40" s="142" t="n"/>
      <c r="AE40" s="142" t="n"/>
      <c r="AF40" s="142" t="n"/>
      <c r="AH40" s="81">
        <f>AH26</f>
        <v/>
      </c>
      <c r="AI40" s="142">
        <f>AI26</f>
        <v/>
      </c>
      <c r="AJ40" s="142">
        <f>AJ26</f>
        <v/>
      </c>
      <c r="AL40" s="81">
        <f>AM26</f>
        <v/>
      </c>
      <c r="AM40" s="81">
        <f>AN26</f>
        <v/>
      </c>
      <c r="AN40" s="81">
        <f>AO26</f>
        <v/>
      </c>
    </row>
    <row r="41" ht="18" customHeight="1">
      <c r="U41" t="n"/>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WPML 09/01 - 09/30</t>
        </is>
      </c>
      <c r="AM48" s="64" t="n">
        <v>1</v>
      </c>
    </row>
    <row r="49" ht="18" customHeight="1">
      <c r="AB49" s="142" t="n"/>
      <c r="AC49" s="142" t="n"/>
      <c r="AD49" s="142" t="n"/>
      <c r="AE49" s="142" t="n"/>
      <c r="AF49" s="142" t="n"/>
      <c r="AL49" s="64" t="inlineStr">
        <is>
          <t>WPML 10/01 -10/31</t>
        </is>
      </c>
      <c r="AM49" s="64" t="n">
        <v>1</v>
      </c>
    </row>
    <row r="50" ht="18" customHeight="1">
      <c r="AB50" s="142" t="n"/>
      <c r="AC50" s="142" t="n"/>
      <c r="AD50" s="142" t="n"/>
      <c r="AE50" s="142" t="n"/>
      <c r="AF50" s="142" t="n"/>
      <c r="AH50" s="64" t="inlineStr">
        <is>
          <t>Sprint</t>
        </is>
      </c>
      <c r="AI50" s="64" t="inlineStr">
        <is>
          <t>V2</t>
        </is>
      </c>
      <c r="AJ50" s="64" t="inlineStr">
        <is>
          <t>LT</t>
        </is>
      </c>
      <c r="AL50" s="64" t="inlineStr">
        <is>
          <t>WPML 11/01 - 11/30</t>
        </is>
      </c>
      <c r="AM50" s="64" t="n">
        <v>1</v>
      </c>
    </row>
    <row r="51" ht="18" customHeight="1">
      <c r="AB51" s="142" t="n"/>
      <c r="AC51" s="142" t="n"/>
      <c r="AD51" s="142" t="n"/>
      <c r="AE51" s="142" t="n"/>
      <c r="AF51" s="142" t="n"/>
      <c r="AH51" s="64" t="inlineStr">
        <is>
          <t>WPML 09/01 - 09/30</t>
        </is>
      </c>
      <c r="AI51" s="81" t="n">
        <v>19</v>
      </c>
      <c r="AJ51" s="81" t="n">
        <v>68</v>
      </c>
      <c r="AL51" s="64" t="inlineStr">
        <is>
          <t>WPML 12/01 - 12/31</t>
        </is>
      </c>
      <c r="AM51" s="64" t="n">
        <v>1</v>
      </c>
    </row>
    <row r="52" ht="18" customHeight="1">
      <c r="AB52" s="142" t="n"/>
      <c r="AC52" s="142" t="n"/>
      <c r="AD52" s="142" t="n"/>
      <c r="AE52" s="142" t="n"/>
      <c r="AF52" s="142" t="n"/>
      <c r="AH52" s="64" t="inlineStr">
        <is>
          <t>WPML 10/01 -10/31</t>
        </is>
      </c>
      <c r="AI52" s="81" t="n">
        <v>17</v>
      </c>
      <c r="AJ52" s="81" t="n">
        <v>70</v>
      </c>
      <c r="AL52" s="64" t="inlineStr">
        <is>
          <t>WPML 01/01 - 01/31</t>
        </is>
      </c>
      <c r="AM52" s="64" t="n">
        <v>1</v>
      </c>
    </row>
    <row r="53" ht="18" customHeight="1">
      <c r="AB53" s="142" t="n"/>
      <c r="AC53" s="142" t="n"/>
      <c r="AD53" s="142" t="n"/>
      <c r="AE53" s="142" t="n"/>
      <c r="AF53" s="142" t="n"/>
      <c r="AH53" s="64" t="inlineStr">
        <is>
          <t>WPML 11/01 - 11/30</t>
        </is>
      </c>
      <c r="AI53" s="81" t="n">
        <v>16</v>
      </c>
      <c r="AJ53" s="81" t="n">
        <v>45</v>
      </c>
      <c r="AL53" s="64" t="inlineStr">
        <is>
          <t>WPML 02/01 - 02/28</t>
        </is>
      </c>
      <c r="AM53" s="64" t="n">
        <v>1</v>
      </c>
    </row>
    <row r="54" ht="18" customHeight="1">
      <c r="AB54" s="142" t="n"/>
      <c r="AC54" s="142" t="n"/>
      <c r="AD54" s="142" t="n"/>
      <c r="AE54" s="142" t="n"/>
      <c r="AF54" s="142" t="n"/>
      <c r="AH54" s="64" t="inlineStr">
        <is>
          <t>WPML 12/01 - 12/31</t>
        </is>
      </c>
      <c r="AI54" s="81" t="n">
        <v>23</v>
      </c>
      <c r="AJ54" s="81" t="n">
        <v>42</v>
      </c>
      <c r="AL54" s="65" t="inlineStr">
        <is>
          <t>Grand Total</t>
        </is>
      </c>
      <c r="AM54" s="65" t="n">
        <v>6</v>
      </c>
    </row>
    <row r="55" ht="18" customHeight="1">
      <c r="AB55" s="142" t="n"/>
      <c r="AC55" s="142" t="n"/>
      <c r="AD55" s="142" t="n"/>
      <c r="AE55" s="142" t="n"/>
      <c r="AF55" s="142" t="n"/>
      <c r="AH55" s="64" t="inlineStr">
        <is>
          <t>WPML 01/01 - 01/31</t>
        </is>
      </c>
      <c r="AI55" s="81" t="n">
        <v>8</v>
      </c>
      <c r="AJ55" s="81" t="n">
        <v>60</v>
      </c>
    </row>
    <row r="56" ht="18" customHeight="1">
      <c r="AB56" s="142" t="n"/>
      <c r="AC56" s="142" t="n"/>
      <c r="AD56" s="142" t="n"/>
      <c r="AE56" s="142" t="n"/>
      <c r="AF56" s="142" t="n"/>
      <c r="AH56" s="64" t="inlineStr">
        <is>
          <t>WPML 02/01 - 02/28</t>
        </is>
      </c>
      <c r="AI56" s="81" t="n">
        <v>19</v>
      </c>
      <c r="AJ56" s="81" t="n">
        <v>56</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64" t="inlineStr">
        <is>
          <t>V2</t>
        </is>
      </c>
      <c r="AJ61" s="64" t="inlineStr">
        <is>
          <t>LT</t>
        </is>
      </c>
      <c r="AL61" s="81">
        <f>AL50</f>
        <v/>
      </c>
      <c r="AM61" s="142">
        <f>AM50</f>
        <v/>
      </c>
    </row>
    <row r="62" ht="18" customHeight="1">
      <c r="AB62" s="142" t="n"/>
      <c r="AC62" s="142" t="n"/>
      <c r="AD62" s="142" t="n"/>
      <c r="AE62" s="142" t="n"/>
      <c r="AF62" s="142" t="n"/>
      <c r="AH62" s="64" t="inlineStr">
        <is>
          <t>WPML 09/01 - 09/30</t>
        </is>
      </c>
      <c r="AI62" s="81" t="n">
        <v>2</v>
      </c>
      <c r="AJ62" s="81" t="n">
        <v>10</v>
      </c>
      <c r="AL62" s="81">
        <f>AL51</f>
        <v/>
      </c>
      <c r="AM62" s="142">
        <f>AM51</f>
        <v/>
      </c>
    </row>
    <row r="63" ht="18" customHeight="1">
      <c r="AB63" s="142" t="n"/>
      <c r="AC63" s="142" t="n"/>
      <c r="AD63" s="142" t="n"/>
      <c r="AE63" s="142" t="n"/>
      <c r="AF63" s="142" t="n"/>
      <c r="AH63" s="64" t="inlineStr">
        <is>
          <t>WPML 10/01 -10/31</t>
        </is>
      </c>
      <c r="AI63" s="81" t="n">
        <v>2</v>
      </c>
      <c r="AJ63" s="81" t="n">
        <v>6</v>
      </c>
      <c r="AL63" s="81">
        <f>AL52</f>
        <v/>
      </c>
      <c r="AM63" s="142">
        <f>AM52</f>
        <v/>
      </c>
    </row>
    <row r="64" ht="18" customHeight="1">
      <c r="AB64" s="142" t="n"/>
      <c r="AC64" s="142" t="n"/>
      <c r="AD64" s="142" t="n"/>
      <c r="AE64" s="142" t="n"/>
      <c r="AF64" s="142" t="n"/>
      <c r="AH64" s="64" t="inlineStr">
        <is>
          <t>WPML 11/01 - 11/30</t>
        </is>
      </c>
      <c r="AI64" s="81" t="n">
        <v>0</v>
      </c>
      <c r="AJ64" s="81" t="n">
        <v>3</v>
      </c>
      <c r="AL64" s="81">
        <f>AL53</f>
        <v/>
      </c>
      <c r="AM64" s="142">
        <f>AM53</f>
        <v/>
      </c>
    </row>
    <row r="65" ht="18" customHeight="1">
      <c r="AB65" s="142" t="n"/>
      <c r="AC65" s="142" t="n"/>
      <c r="AD65" s="142" t="n"/>
      <c r="AE65" s="142" t="n"/>
      <c r="AF65" s="142" t="n"/>
      <c r="AH65" s="64" t="inlineStr">
        <is>
          <t>WPML 12/01 - 12/31</t>
        </is>
      </c>
      <c r="AI65" s="81" t="n">
        <v>3</v>
      </c>
      <c r="AJ65" s="81" t="n">
        <v>5</v>
      </c>
      <c r="AL65" s="81" t="n"/>
      <c r="AM65" s="142" t="n"/>
    </row>
    <row r="66" ht="18" customHeight="1">
      <c r="AB66" s="142" t="n"/>
      <c r="AC66" s="142" t="n"/>
      <c r="AD66" s="142" t="n"/>
      <c r="AE66" s="142" t="n"/>
      <c r="AF66" s="142" t="n"/>
      <c r="AH66" s="64" t="inlineStr">
        <is>
          <t>WPML 01/01 - 01/31</t>
        </is>
      </c>
      <c r="AI66" s="81" t="n">
        <v>0</v>
      </c>
      <c r="AJ66" s="81" t="n">
        <v>11</v>
      </c>
      <c r="AL66" s="81" t="n"/>
      <c r="AM66" s="81" t="n"/>
    </row>
    <row r="67" ht="18" customHeight="1">
      <c r="AB67" s="142" t="n"/>
      <c r="AC67" s="142" t="n"/>
      <c r="AD67" s="142" t="n"/>
      <c r="AE67" s="142" t="n"/>
      <c r="AF67" s="142" t="n"/>
      <c r="AH67" s="64" t="inlineStr">
        <is>
          <t>WPML 02/01 - 02/28</t>
        </is>
      </c>
      <c r="AI67" s="81" t="n">
        <v>0</v>
      </c>
      <c r="AJ67" s="81" t="n">
        <v>11</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row>
    <row r="72" ht="18" customHeight="1">
      <c r="AB72" s="142" t="n"/>
      <c r="AC72" s="142" t="n"/>
      <c r="AD72" s="142" t="n"/>
      <c r="AE72" s="142" t="n"/>
      <c r="AF72" s="142" t="n"/>
    </row>
    <row r="73" ht="18" customHeight="1">
      <c r="AB73" s="142" t="n"/>
      <c r="AC73" s="142" t="n"/>
      <c r="AD73" s="142" t="n"/>
      <c r="AE73" s="142" t="n"/>
      <c r="AF73" s="142" t="n"/>
    </row>
    <row r="74" ht="18" customHeight="1">
      <c r="AB74" s="142" t="n"/>
      <c r="AC74" s="142" t="n"/>
      <c r="AD74" s="142" t="n"/>
      <c r="AE74" s="142" t="n"/>
      <c r="AF74" s="142" t="n"/>
    </row>
    <row r="75" ht="18" customHeight="1">
      <c r="AB75" s="142" t="n"/>
      <c r="AC75" s="142" t="n"/>
      <c r="AD75" s="142" t="n"/>
      <c r="AE75" s="142" t="n"/>
      <c r="AF75"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Rajneesh Makhija</dc:creator>
  <dc:title xmlns:dc="http://purl.org/dc/elements/1.1/">LT Simplified Metrics</dc:title>
  <dcterms:created xmlns:dcterms="http://purl.org/dc/terms/" xmlns:xsi="http://www.w3.org/2001/XMLSchema-instance" xsi:type="dcterms:W3CDTF">2020-07-07T04:15:02Z</dcterms:created>
  <dcterms:modified xmlns:dcterms="http://purl.org/dc/terms/" xmlns:xsi="http://www.w3.org/2001/XMLSchema-instance" xsi:type="dcterms:W3CDTF">2026-06-26T10:34:52Z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0x010100C6BF51A07410DA4796335AE0E37182C8</vt:lpwstr>
  </property>
  <property name="MediaServiceImageTags" fmtid="{D5CDD505-2E9C-101B-9397-08002B2CF9AE}" pid="3">
    <vt:lpwstr xmlns:vt="http://schemas.openxmlformats.org/officeDocument/2006/docPropsVTypes"/>
  </property>
</Properties>
</file>